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garb\Development\Projects\food_manager\fm-server\src\main\resources\data\sql\food_items_data\"/>
    </mc:Choice>
  </mc:AlternateContent>
  <xr:revisionPtr revIDLastSave="0" documentId="13_ncr:1_{F3FFD964-6B81-4306-9DD3-725B6BBF5F4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food_items_data" sheetId="1" r:id="rId1"/>
  </sheets>
  <definedNames>
    <definedName name="_xlnm._FilterDatabase" localSheetId="0" hidden="1">food_items_data!$A$1:$A$240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44" i="1" l="1"/>
  <c r="A243" i="1"/>
  <c r="A4" i="1"/>
  <c r="C130" i="1" l="1"/>
  <c r="C116" i="1"/>
  <c r="A5" i="1" l="1"/>
  <c r="A6" i="1" s="1"/>
  <c r="A7" i="1" s="1"/>
  <c r="A8" i="1" s="1"/>
  <c r="A9" i="1" s="1"/>
  <c r="A10" i="1" s="1"/>
  <c r="A11" i="1" s="1"/>
  <c r="A12" i="1" s="1"/>
  <c r="A13" i="1" l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41" i="1" l="1"/>
  <c r="A42" i="1" s="1"/>
  <c r="A43" i="1" l="1"/>
  <c r="A44" i="1" s="1"/>
  <c r="A45" i="1" s="1"/>
  <c r="A46" i="1" s="1"/>
  <c r="A47" i="1" s="1"/>
  <c r="A48" i="1" l="1"/>
  <c r="A49" i="1" l="1"/>
  <c r="A50" i="1" l="1"/>
  <c r="A51" i="1" s="1"/>
  <c r="A52" i="1" s="1"/>
  <c r="A53" i="1" s="1"/>
  <c r="A54" i="1" s="1"/>
  <c r="A55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9" i="1" l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5" i="1" l="1"/>
  <c r="A156" i="1" s="1"/>
  <c r="A157" i="1" l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8" i="1" s="1"/>
  <c r="A189" i="1" s="1"/>
  <c r="A190" i="1" s="1"/>
  <c r="A191" i="1" s="1"/>
  <c r="A192" i="1" s="1"/>
  <c r="A193" i="1" s="1"/>
  <c r="A194" i="1" s="1"/>
  <c r="A195" i="1" s="1"/>
  <c r="A198" i="1" l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l="1"/>
  <c r="A210" i="1" l="1"/>
  <c r="A211" i="1" s="1"/>
  <c r="A212" i="1" s="1"/>
  <c r="A215" i="1" s="1"/>
  <c r="A216" i="1" s="1"/>
  <c r="A217" i="1" s="1"/>
  <c r="A220" i="1" l="1"/>
  <c r="A221" i="1" s="1"/>
  <c r="A222" i="1" s="1"/>
  <c r="A223" i="1" s="1"/>
  <c r="A224" i="1" s="1"/>
  <c r="A227" i="1" l="1"/>
  <c r="A228" i="1" s="1"/>
  <c r="A229" i="1" s="1"/>
  <c r="A230" i="1" s="1"/>
  <c r="A233" i="1" s="1"/>
  <c r="A234" i="1" l="1"/>
  <c r="A235" i="1" l="1"/>
  <c r="A236" i="1" s="1"/>
  <c r="A239" i="1" s="1"/>
  <c r="A240" i="1" s="1"/>
</calcChain>
</file>

<file path=xl/sharedStrings.xml><?xml version="1.0" encoding="utf-8"?>
<sst xmlns="http://schemas.openxmlformats.org/spreadsheetml/2006/main" count="438" uniqueCount="292">
  <si>
    <t>id</t>
  </si>
  <si>
    <t>name</t>
  </si>
  <si>
    <t xml:space="preserve"> default_quantity</t>
  </si>
  <si>
    <t xml:space="preserve"> serving_desc</t>
  </si>
  <si>
    <t>serving_size</t>
  </si>
  <si>
    <t>fk_nutrition_raw</t>
  </si>
  <si>
    <t>fk_nutrition_cooked</t>
  </si>
  <si>
    <t>VEGETABLES, NON-STARCHY</t>
  </si>
  <si>
    <t>spear</t>
  </si>
  <si>
    <t>whole</t>
  </si>
  <si>
    <t>spears</t>
  </si>
  <si>
    <t>head</t>
  </si>
  <si>
    <t>stalk</t>
  </si>
  <si>
    <t>one</t>
  </si>
  <si>
    <t>medium</t>
  </si>
  <si>
    <t>clove</t>
  </si>
  <si>
    <t>head(15cm)</t>
  </si>
  <si>
    <t>small(5cm)</t>
  </si>
  <si>
    <t>swiss chard</t>
  </si>
  <si>
    <t>piece</t>
  </si>
  <si>
    <t>can</t>
  </si>
  <si>
    <t>packet</t>
  </si>
  <si>
    <t>VEGETABLES, STARCHY</t>
  </si>
  <si>
    <t>GRAINS</t>
  </si>
  <si>
    <t>LEGUMES</t>
  </si>
  <si>
    <t>MUSHROOMS</t>
  </si>
  <si>
    <t>MEATS</t>
  </si>
  <si>
    <t>POULTRY</t>
  </si>
  <si>
    <t>SEAFOOD AND FISH</t>
  </si>
  <si>
    <t>TREATS</t>
  </si>
  <si>
    <t>carrot</t>
  </si>
  <si>
    <t>FRUIT</t>
  </si>
  <si>
    <t>medium(15-17cm)</t>
  </si>
  <si>
    <t>1 ear(cob)</t>
  </si>
  <si>
    <t>cup</t>
  </si>
  <si>
    <t>serving_unit</t>
  </si>
  <si>
    <t>ginger root</t>
  </si>
  <si>
    <t>tsp</t>
  </si>
  <si>
    <t>parsnip</t>
  </si>
  <si>
    <t>20cm</t>
  </si>
  <si>
    <t>pumpkin</t>
  </si>
  <si>
    <t>cup(mashed)</t>
  </si>
  <si>
    <t>sweet potato</t>
  </si>
  <si>
    <t>potato</t>
  </si>
  <si>
    <t>radish</t>
  </si>
  <si>
    <t>turnip</t>
  </si>
  <si>
    <t>winter squash</t>
  </si>
  <si>
    <t>medium(6-8cm)</t>
  </si>
  <si>
    <t>large(15-20cm)</t>
  </si>
  <si>
    <t>avocado</t>
  </si>
  <si>
    <t>blackberry</t>
  </si>
  <si>
    <t>sweet cherry</t>
  </si>
  <si>
    <t>OILS</t>
  </si>
  <si>
    <t>cranberry</t>
  </si>
  <si>
    <t>elderberry</t>
  </si>
  <si>
    <t>grapefruit</t>
  </si>
  <si>
    <t>grapes</t>
  </si>
  <si>
    <t>honeydew melon</t>
  </si>
  <si>
    <t>kiwi</t>
  </si>
  <si>
    <t>lime</t>
  </si>
  <si>
    <t>mango</t>
  </si>
  <si>
    <t>nectarine</t>
  </si>
  <si>
    <t>mango dried</t>
  </si>
  <si>
    <t>olive</t>
  </si>
  <si>
    <t>watermelon</t>
  </si>
  <si>
    <t>medium(6cm)</t>
  </si>
  <si>
    <t>coconut meat</t>
  </si>
  <si>
    <t>coconut water</t>
  </si>
  <si>
    <t>fig dried</t>
  </si>
  <si>
    <t>medium(10cm)</t>
  </si>
  <si>
    <t>small(6cm)</t>
  </si>
  <si>
    <t>medium(8cm)</t>
  </si>
  <si>
    <t>small(5cm width)</t>
  </si>
  <si>
    <t>medium(5cm)</t>
  </si>
  <si>
    <t>strawberry frozen</t>
  </si>
  <si>
    <t>20cm width</t>
  </si>
  <si>
    <t>feta cheese</t>
  </si>
  <si>
    <t>pack</t>
  </si>
  <si>
    <t>mozzarella</t>
  </si>
  <si>
    <t>cheddar cheese</t>
  </si>
  <si>
    <t>milk whole</t>
  </si>
  <si>
    <t>milk semi-skimmed</t>
  </si>
  <si>
    <t>milk skimmed</t>
  </si>
  <si>
    <t>almond milk</t>
  </si>
  <si>
    <t>goat's milk</t>
  </si>
  <si>
    <t>yogurt whl milk</t>
  </si>
  <si>
    <t>yogurt low fat</t>
  </si>
  <si>
    <t>yogurt greek whl milk</t>
  </si>
  <si>
    <t>yogurt greek low fat</t>
  </si>
  <si>
    <t>pot</t>
  </si>
  <si>
    <t>artichoke</t>
  </si>
  <si>
    <t>asparagus</t>
  </si>
  <si>
    <t>broccoli</t>
  </si>
  <si>
    <t>celery</t>
  </si>
  <si>
    <t>cucumber</t>
  </si>
  <si>
    <t>eggplant</t>
  </si>
  <si>
    <t>garlic</t>
  </si>
  <si>
    <t>kale</t>
  </si>
  <si>
    <t>leek</t>
  </si>
  <si>
    <t>onion</t>
  </si>
  <si>
    <t>spinach</t>
  </si>
  <si>
    <t>tomato</t>
  </si>
  <si>
    <t>cauliflower</t>
  </si>
  <si>
    <t>corn</t>
  </si>
  <si>
    <t>apple</t>
  </si>
  <si>
    <t>apricot</t>
  </si>
  <si>
    <t>banana</t>
  </si>
  <si>
    <t>blueberry</t>
  </si>
  <si>
    <t>blackcurrant</t>
  </si>
  <si>
    <t>fig</t>
  </si>
  <si>
    <t>lemon</t>
  </si>
  <si>
    <t>orange</t>
  </si>
  <si>
    <t>peach</t>
  </si>
  <si>
    <t>pear</t>
  </si>
  <si>
    <t>pineapple</t>
  </si>
  <si>
    <t>plum</t>
  </si>
  <si>
    <t>raspberry</t>
  </si>
  <si>
    <t>strawberry</t>
  </si>
  <si>
    <t>asparagus frozen</t>
  </si>
  <si>
    <t>beet greens</t>
  </si>
  <si>
    <t>broccoli frozen</t>
  </si>
  <si>
    <t>brussels sprout</t>
  </si>
  <si>
    <t>cabbage savoy</t>
  </si>
  <si>
    <t>collard greens</t>
  </si>
  <si>
    <t>garden cress</t>
  </si>
  <si>
    <t>pickled cucumber</t>
  </si>
  <si>
    <t>courgette (zucchini)</t>
  </si>
  <si>
    <t>romaine lettuce</t>
  </si>
  <si>
    <t>green leaf lettuce</t>
  </si>
  <si>
    <t>iceberg lettuce</t>
  </si>
  <si>
    <t>redleaf lettuce</t>
  </si>
  <si>
    <t>spring onion</t>
  </si>
  <si>
    <t>green pepper</t>
  </si>
  <si>
    <t>red pepper</t>
  </si>
  <si>
    <t>yellow pepper</t>
  </si>
  <si>
    <t>chilli pepper</t>
  </si>
  <si>
    <t>tomato sun-dried</t>
  </si>
  <si>
    <t>tomato passata</t>
  </si>
  <si>
    <t>tomato canned</t>
  </si>
  <si>
    <t>water cress</t>
  </si>
  <si>
    <t>beet root</t>
  </si>
  <si>
    <t>beetroot (pickled)</t>
  </si>
  <si>
    <t>corn frozen</t>
  </si>
  <si>
    <t>corn canned</t>
  </si>
  <si>
    <t>peas frozen</t>
  </si>
  <si>
    <t>apple dried</t>
  </si>
  <si>
    <t>banana dried</t>
  </si>
  <si>
    <t>blueberry frozen</t>
  </si>
  <si>
    <t>date (degletnoor)</t>
  </si>
  <si>
    <t>date (medjool)</t>
  </si>
  <si>
    <t>tangerine (mandarin)</t>
  </si>
  <si>
    <t>peach dried</t>
  </si>
  <si>
    <t>pear dried</t>
  </si>
  <si>
    <t>prune (driedplum)</t>
  </si>
  <si>
    <t>raspberry frozen</t>
  </si>
  <si>
    <t>egg</t>
  </si>
  <si>
    <t>bread pitta white wheat</t>
  </si>
  <si>
    <t>bread pitta whole wheat</t>
  </si>
  <si>
    <t>bread white wheat</t>
  </si>
  <si>
    <t>slice</t>
  </si>
  <si>
    <t>pitta</t>
  </si>
  <si>
    <t>bread whole wheat</t>
  </si>
  <si>
    <t>wheat flour white plain</t>
  </si>
  <si>
    <t>wheat flour white self-rising</t>
  </si>
  <si>
    <t>oats</t>
  </si>
  <si>
    <t>rice brown medium grain</t>
  </si>
  <si>
    <t>rice white long grain</t>
  </si>
  <si>
    <t>rice noodles</t>
  </si>
  <si>
    <t>oat bran</t>
  </si>
  <si>
    <t>cup(dry)</t>
  </si>
  <si>
    <t>rolls whole wheat</t>
  </si>
  <si>
    <t>large bap</t>
  </si>
  <si>
    <t>DAIRY and EGG</t>
  </si>
  <si>
    <t>NUTS and SEEDS</t>
  </si>
  <si>
    <t>almonds</t>
  </si>
  <si>
    <t>almond butter (roasted)</t>
  </si>
  <si>
    <t>tbsp</t>
  </si>
  <si>
    <t>brazil nuts</t>
  </si>
  <si>
    <t>cashew nuts</t>
  </si>
  <si>
    <t>20 kernels(=30g)</t>
  </si>
  <si>
    <t>10 kernels(=30g)</t>
  </si>
  <si>
    <t>15 kernels(=30g)</t>
  </si>
  <si>
    <t>almonds roasted w/salt</t>
  </si>
  <si>
    <t>cashew nuts roasted w/salt</t>
  </si>
  <si>
    <t>16 kernels(=30g)</t>
  </si>
  <si>
    <t>cashew butter</t>
  </si>
  <si>
    <t>chestnuts roasted</t>
  </si>
  <si>
    <t>chia seeds</t>
  </si>
  <si>
    <t>flax seeds</t>
  </si>
  <si>
    <t>hazelnuts</t>
  </si>
  <si>
    <t>macadamia</t>
  </si>
  <si>
    <t>pecan nuts</t>
  </si>
  <si>
    <t>pistachio nuts</t>
  </si>
  <si>
    <t>pumpkin seeds</t>
  </si>
  <si>
    <t>sesame seeds</t>
  </si>
  <si>
    <t>sunflower seeds</t>
  </si>
  <si>
    <t>walnuts</t>
  </si>
  <si>
    <t>pine nuts</t>
  </si>
  <si>
    <t>pistachio nuts roasted w/salt</t>
  </si>
  <si>
    <t>30 kernels(=30g)</t>
  </si>
  <si>
    <t>10 half-kernels(=30g)</t>
  </si>
  <si>
    <t>sunflower oil</t>
  </si>
  <si>
    <t>olive oil</t>
  </si>
  <si>
    <t>tbsp(800g=1L)</t>
  </si>
  <si>
    <t>tbsp(900g=1L)</t>
  </si>
  <si>
    <t>coconut oil</t>
  </si>
  <si>
    <t>tbsp(280=300ml)</t>
  </si>
  <si>
    <t>basil fresh</t>
  </si>
  <si>
    <t>basil dried</t>
  </si>
  <si>
    <t>tbsp(chopped)</t>
  </si>
  <si>
    <t>cinamon ground</t>
  </si>
  <si>
    <t>cloves ground</t>
  </si>
  <si>
    <t>cumin seed</t>
  </si>
  <si>
    <t>dill fresh</t>
  </si>
  <si>
    <t>dill dried</t>
  </si>
  <si>
    <t>5 sprigs</t>
  </si>
  <si>
    <t>oregano dried</t>
  </si>
  <si>
    <t>parsley fresh</t>
  </si>
  <si>
    <t>parsley dried</t>
  </si>
  <si>
    <t>peppermint fresh</t>
  </si>
  <si>
    <t>rosemary fresh</t>
  </si>
  <si>
    <t>rosemary dried</t>
  </si>
  <si>
    <t>saffron</t>
  </si>
  <si>
    <t>sage ground</t>
  </si>
  <si>
    <t>soy sauce</t>
  </si>
  <si>
    <t>thyme dried</t>
  </si>
  <si>
    <t>thyme fresh</t>
  </si>
  <si>
    <t>turmeric ground</t>
  </si>
  <si>
    <t>curry powder</t>
  </si>
  <si>
    <t>ginger ground</t>
  </si>
  <si>
    <t>paprika</t>
  </si>
  <si>
    <t>pepper black</t>
  </si>
  <si>
    <t>pepper red/cayenne</t>
  </si>
  <si>
    <t>savory ground</t>
  </si>
  <si>
    <t>mustard</t>
  </si>
  <si>
    <t>salt table</t>
  </si>
  <si>
    <t>HERBS, SPICES</t>
  </si>
  <si>
    <t>SAUCES</t>
  </si>
  <si>
    <t>vinegar cider</t>
  </si>
  <si>
    <t>vinegar balsamic</t>
  </si>
  <si>
    <t>vinegar red wine</t>
  </si>
  <si>
    <t>teriyaki sauce</t>
  </si>
  <si>
    <t>barbecue sauce</t>
  </si>
  <si>
    <t>mayonnaise regular</t>
  </si>
  <si>
    <t>mayonnaise light</t>
  </si>
  <si>
    <t>chickpeas</t>
  </si>
  <si>
    <t>beans kidney</t>
  </si>
  <si>
    <t>beans kidney red</t>
  </si>
  <si>
    <t>beans navy</t>
  </si>
  <si>
    <t>beans black</t>
  </si>
  <si>
    <t>beans pinto</t>
  </si>
  <si>
    <t>lentils</t>
  </si>
  <si>
    <t>peas</t>
  </si>
  <si>
    <t>beans white</t>
  </si>
  <si>
    <t>peanuts</t>
  </si>
  <si>
    <t>peanuts roasted w/salt</t>
  </si>
  <si>
    <t>peanut butter smooth</t>
  </si>
  <si>
    <t>peanut butter crunchy</t>
  </si>
  <si>
    <t>beans french</t>
  </si>
  <si>
    <t>cup(cooked)</t>
  </si>
  <si>
    <t>mushrooms white button</t>
  </si>
  <si>
    <t>piece(cooked)</t>
  </si>
  <si>
    <t>mushrooms portabello (large flat)</t>
  </si>
  <si>
    <t>mushrooms shiitake</t>
  </si>
  <si>
    <t>one(cooked)</t>
  </si>
  <si>
    <t>beef burger 15% fat</t>
  </si>
  <si>
    <t>patty(raw=230g)</t>
  </si>
  <si>
    <t>pork mince 4% fat</t>
  </si>
  <si>
    <t>pork mince 16% fat</t>
  </si>
  <si>
    <t>pork loin boneless</t>
  </si>
  <si>
    <t>steak(raw=175g)</t>
  </si>
  <si>
    <t>pork shoulder</t>
  </si>
  <si>
    <t>steak(raw=150g)</t>
  </si>
  <si>
    <t>chicken breast fillet</t>
  </si>
  <si>
    <t>fillet(raw=160g)</t>
  </si>
  <si>
    <t>chicken thigh</t>
  </si>
  <si>
    <t>chicken drumsticks</t>
  </si>
  <si>
    <t>drumstick(raw=130g)</t>
  </si>
  <si>
    <t>chicken wings</t>
  </si>
  <si>
    <t>wing(raw=105g)</t>
  </si>
  <si>
    <t>fillet(raw=120g)</t>
  </si>
  <si>
    <t>mackerel</t>
  </si>
  <si>
    <t>salmon</t>
  </si>
  <si>
    <t>whole(raw=340g)</t>
  </si>
  <si>
    <t>can(with water=160g)</t>
  </si>
  <si>
    <t>tuna canned water</t>
  </si>
  <si>
    <t>cod</t>
  </si>
  <si>
    <t>fillet(raw=230g)</t>
  </si>
  <si>
    <t>butter</t>
  </si>
  <si>
    <t>cabbage red/white</t>
  </si>
  <si>
    <t>SWEETENERS</t>
  </si>
  <si>
    <t>honey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</si>
</sst>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/>
    <xf numFmtId="0" fontId="0" fillId="0" borderId="0" xfId="0" applyBorder="1"/>
    <xf numFmtId="0" fontId="0" fillId="0" borderId="0" xfId="0" applyBorder="1" applyAlignment="1"/>
    <xf numFmtId="0" fontId="0" fillId="0" borderId="0" xfId="0" applyFill="1" applyBorder="1" applyAlignme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44"/>
  <sheetViews>
    <sheetView tabSelected="1" zoomScaleNormal="100" workbookViewId="0">
      <pane ySplit="1" topLeftCell="A218" activePane="bottomLeft" state="frozen"/>
      <selection pane="bottomLeft" activeCell="D244" sqref="D244"/>
    </sheetView>
  </sheetViews>
  <sheetFormatPr defaultRowHeight="15" x14ac:dyDescent="0.25"/>
  <cols>
    <col min="1" max="1" width="26.28515625" bestFit="1" customWidth="1"/>
    <col min="2" max="2" width="27" bestFit="1" customWidth="1"/>
    <col min="3" max="3" width="16.42578125" bestFit="1" customWidth="1"/>
    <col min="4" max="4" width="19.85546875" bestFit="1" customWidth="1"/>
    <col min="5" max="5" width="11.85546875" bestFit="1" customWidth="1"/>
    <col min="6" max="6" width="12" bestFit="1" customWidth="1"/>
    <col min="7" max="7" width="16" bestFit="1" customWidth="1"/>
    <col min="8" max="8" width="19.285156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35</v>
      </c>
      <c r="G1" t="s">
        <v>5</v>
      </c>
      <c r="H1" t="s">
        <v>6</v>
      </c>
    </row>
    <row r="2" spans="1:8" x14ac:dyDescent="0.25">
      <c r="A2" s="1" t="s">
        <v>7</v>
      </c>
      <c r="B2" s="1"/>
      <c r="C2" s="1"/>
      <c r="D2" s="1"/>
      <c r="E2" s="1"/>
      <c r="F2" s="1"/>
      <c r="G2" s="1"/>
      <c r="H2" s="1"/>
    </row>
    <row r="3" spans="1:8" x14ac:dyDescent="0.25">
      <c r="A3">
        <v>1</v>
      </c>
      <c r="B3" t="s">
        <v>90</v>
      </c>
      <c r="C3">
        <v>200</v>
      </c>
      <c r="E3">
        <v>100</v>
      </c>
      <c r="F3">
        <v>0</v>
      </c>
      <c r="G3">
        <v>11007</v>
      </c>
      <c r="H3">
        <v>11008</v>
      </c>
    </row>
    <row r="4" spans="1:8" x14ac:dyDescent="0.25">
      <c r="A4">
        <f>1+A3</f>
        <v>2</v>
      </c>
      <c r="B4" t="s">
        <v>91</v>
      </c>
      <c r="C4">
        <v>250</v>
      </c>
      <c r="D4" t="s">
        <v>8</v>
      </c>
      <c r="E4">
        <v>25</v>
      </c>
      <c r="F4">
        <v>0</v>
      </c>
      <c r="G4">
        <v>11011</v>
      </c>
      <c r="H4">
        <v>11012</v>
      </c>
    </row>
    <row r="5" spans="1:8" x14ac:dyDescent="0.25">
      <c r="A5">
        <f t="shared" ref="A5:A38" si="0">1+A4</f>
        <v>3</v>
      </c>
      <c r="B5" t="s">
        <v>118</v>
      </c>
      <c r="C5">
        <v>300</v>
      </c>
      <c r="D5" t="s">
        <v>8</v>
      </c>
      <c r="E5">
        <v>15</v>
      </c>
      <c r="F5">
        <v>0</v>
      </c>
      <c r="G5">
        <v>11018</v>
      </c>
      <c r="H5">
        <v>11019</v>
      </c>
    </row>
    <row r="6" spans="1:8" x14ac:dyDescent="0.25">
      <c r="A6">
        <f t="shared" si="0"/>
        <v>4</v>
      </c>
      <c r="B6" t="s">
        <v>119</v>
      </c>
      <c r="C6">
        <v>300</v>
      </c>
      <c r="D6" t="s">
        <v>13</v>
      </c>
      <c r="E6">
        <v>40</v>
      </c>
      <c r="F6">
        <v>0</v>
      </c>
      <c r="G6">
        <v>11086</v>
      </c>
      <c r="H6">
        <v>11087</v>
      </c>
    </row>
    <row r="7" spans="1:8" x14ac:dyDescent="0.25">
      <c r="A7">
        <f t="shared" si="0"/>
        <v>5</v>
      </c>
      <c r="B7" t="s">
        <v>92</v>
      </c>
      <c r="C7">
        <v>250</v>
      </c>
      <c r="D7" t="s">
        <v>9</v>
      </c>
      <c r="E7">
        <v>250</v>
      </c>
      <c r="F7">
        <v>0</v>
      </c>
      <c r="G7">
        <v>11090</v>
      </c>
      <c r="H7">
        <v>11091</v>
      </c>
    </row>
    <row r="8" spans="1:8" x14ac:dyDescent="0.25">
      <c r="A8">
        <f t="shared" si="0"/>
        <v>6</v>
      </c>
      <c r="B8" t="s">
        <v>120</v>
      </c>
      <c r="C8">
        <v>1000</v>
      </c>
      <c r="D8" t="s">
        <v>10</v>
      </c>
      <c r="E8">
        <v>150</v>
      </c>
      <c r="F8">
        <v>0</v>
      </c>
      <c r="G8">
        <v>11094</v>
      </c>
      <c r="H8">
        <v>11095</v>
      </c>
    </row>
    <row r="9" spans="1:8" x14ac:dyDescent="0.25">
      <c r="A9">
        <f t="shared" si="0"/>
        <v>7</v>
      </c>
      <c r="B9" t="s">
        <v>121</v>
      </c>
      <c r="C9">
        <v>500</v>
      </c>
      <c r="D9" t="s">
        <v>19</v>
      </c>
      <c r="E9">
        <v>20</v>
      </c>
      <c r="F9">
        <v>0</v>
      </c>
      <c r="G9">
        <v>11098</v>
      </c>
      <c r="H9">
        <v>11099</v>
      </c>
    </row>
    <row r="10" spans="1:8" x14ac:dyDescent="0.25">
      <c r="A10">
        <f t="shared" si="0"/>
        <v>8</v>
      </c>
      <c r="B10" t="s">
        <v>289</v>
      </c>
      <c r="C10">
        <v>1200</v>
      </c>
      <c r="D10" t="s">
        <v>11</v>
      </c>
      <c r="E10">
        <v>1200</v>
      </c>
      <c r="F10">
        <v>0</v>
      </c>
      <c r="G10">
        <v>11109</v>
      </c>
      <c r="H10">
        <v>11110</v>
      </c>
    </row>
    <row r="11" spans="1:8" x14ac:dyDescent="0.25">
      <c r="A11">
        <f t="shared" si="0"/>
        <v>9</v>
      </c>
      <c r="B11" t="s">
        <v>122</v>
      </c>
      <c r="C11">
        <v>1200</v>
      </c>
      <c r="D11" t="s">
        <v>11</v>
      </c>
      <c r="E11">
        <v>1200</v>
      </c>
      <c r="F11">
        <v>0</v>
      </c>
      <c r="G11">
        <v>11114</v>
      </c>
      <c r="H11">
        <v>11115</v>
      </c>
    </row>
    <row r="12" spans="1:8" x14ac:dyDescent="0.25">
      <c r="A12">
        <f t="shared" si="0"/>
        <v>10</v>
      </c>
      <c r="B12" t="s">
        <v>93</v>
      </c>
      <c r="C12">
        <v>300</v>
      </c>
      <c r="D12" t="s">
        <v>12</v>
      </c>
      <c r="E12">
        <v>32</v>
      </c>
      <c r="F12">
        <v>0</v>
      </c>
      <c r="G12">
        <v>11143</v>
      </c>
      <c r="H12">
        <v>11144</v>
      </c>
    </row>
    <row r="13" spans="1:8" x14ac:dyDescent="0.25">
      <c r="A13">
        <f t="shared" si="0"/>
        <v>11</v>
      </c>
      <c r="B13" t="s">
        <v>123</v>
      </c>
      <c r="D13" t="s">
        <v>34</v>
      </c>
      <c r="E13">
        <v>190</v>
      </c>
      <c r="F13">
        <v>2</v>
      </c>
      <c r="G13">
        <v>11161</v>
      </c>
      <c r="H13">
        <v>11162</v>
      </c>
    </row>
    <row r="14" spans="1:8" x14ac:dyDescent="0.25">
      <c r="A14">
        <f t="shared" si="0"/>
        <v>12</v>
      </c>
      <c r="B14" t="s">
        <v>124</v>
      </c>
      <c r="C14">
        <v>200</v>
      </c>
      <c r="D14" t="s">
        <v>34</v>
      </c>
      <c r="E14">
        <v>50</v>
      </c>
      <c r="F14">
        <v>2</v>
      </c>
      <c r="G14">
        <v>11203</v>
      </c>
      <c r="H14">
        <v>11204</v>
      </c>
    </row>
    <row r="15" spans="1:8" x14ac:dyDescent="0.25">
      <c r="A15">
        <f t="shared" si="0"/>
        <v>13</v>
      </c>
      <c r="B15" t="s">
        <v>94</v>
      </c>
      <c r="C15">
        <v>350</v>
      </c>
      <c r="D15" t="s">
        <v>9</v>
      </c>
      <c r="E15">
        <v>350</v>
      </c>
      <c r="F15">
        <v>0</v>
      </c>
      <c r="G15">
        <v>11206</v>
      </c>
    </row>
    <row r="16" spans="1:8" x14ac:dyDescent="0.25">
      <c r="A16">
        <f t="shared" si="0"/>
        <v>14</v>
      </c>
      <c r="B16" t="s">
        <v>125</v>
      </c>
      <c r="C16">
        <v>450</v>
      </c>
      <c r="D16" t="s">
        <v>13</v>
      </c>
      <c r="E16">
        <v>50</v>
      </c>
      <c r="F16">
        <v>0</v>
      </c>
      <c r="H16">
        <v>11937</v>
      </c>
    </row>
    <row r="17" spans="1:8" x14ac:dyDescent="0.25">
      <c r="A17">
        <f t="shared" si="0"/>
        <v>15</v>
      </c>
      <c r="B17" t="s">
        <v>95</v>
      </c>
      <c r="C17">
        <v>450</v>
      </c>
      <c r="D17" t="s">
        <v>9</v>
      </c>
      <c r="E17">
        <v>450</v>
      </c>
      <c r="F17">
        <v>0</v>
      </c>
      <c r="G17">
        <v>11209</v>
      </c>
      <c r="H17">
        <v>11210</v>
      </c>
    </row>
    <row r="18" spans="1:8" x14ac:dyDescent="0.25">
      <c r="A18">
        <f t="shared" si="0"/>
        <v>16</v>
      </c>
      <c r="B18" t="s">
        <v>126</v>
      </c>
      <c r="C18">
        <v>200</v>
      </c>
      <c r="D18" t="s">
        <v>14</v>
      </c>
      <c r="E18">
        <v>200</v>
      </c>
      <c r="F18">
        <v>0</v>
      </c>
      <c r="G18">
        <v>11477</v>
      </c>
      <c r="H18">
        <v>11478</v>
      </c>
    </row>
    <row r="19" spans="1:8" x14ac:dyDescent="0.25">
      <c r="A19">
        <f t="shared" si="0"/>
        <v>17</v>
      </c>
      <c r="B19" t="s">
        <v>96</v>
      </c>
      <c r="C19">
        <v>45</v>
      </c>
      <c r="D19" t="s">
        <v>15</v>
      </c>
      <c r="E19">
        <v>6</v>
      </c>
      <c r="F19">
        <v>0</v>
      </c>
      <c r="G19">
        <v>11215</v>
      </c>
    </row>
    <row r="20" spans="1:8" x14ac:dyDescent="0.25">
      <c r="A20">
        <f t="shared" si="0"/>
        <v>18</v>
      </c>
      <c r="B20" t="s">
        <v>97</v>
      </c>
      <c r="C20">
        <v>200</v>
      </c>
      <c r="D20" t="s">
        <v>21</v>
      </c>
      <c r="E20">
        <v>200</v>
      </c>
      <c r="F20">
        <v>3</v>
      </c>
      <c r="G20">
        <v>11233</v>
      </c>
      <c r="H20">
        <v>11234</v>
      </c>
    </row>
    <row r="21" spans="1:8" x14ac:dyDescent="0.25">
      <c r="A21">
        <f t="shared" si="0"/>
        <v>19</v>
      </c>
      <c r="B21" t="s">
        <v>98</v>
      </c>
      <c r="C21">
        <v>120</v>
      </c>
      <c r="D21" t="s">
        <v>9</v>
      </c>
      <c r="E21">
        <v>120</v>
      </c>
      <c r="F21">
        <v>0</v>
      </c>
      <c r="G21">
        <v>11246</v>
      </c>
      <c r="H21">
        <v>11247</v>
      </c>
    </row>
    <row r="22" spans="1:8" x14ac:dyDescent="0.25">
      <c r="A22">
        <f t="shared" si="0"/>
        <v>20</v>
      </c>
      <c r="B22" t="s">
        <v>127</v>
      </c>
      <c r="C22">
        <v>440</v>
      </c>
      <c r="D22" t="s">
        <v>11</v>
      </c>
      <c r="E22">
        <v>220</v>
      </c>
      <c r="F22">
        <v>0</v>
      </c>
      <c r="G22">
        <v>11251</v>
      </c>
    </row>
    <row r="23" spans="1:8" x14ac:dyDescent="0.25">
      <c r="A23">
        <f t="shared" si="0"/>
        <v>21</v>
      </c>
      <c r="B23" t="s">
        <v>128</v>
      </c>
      <c r="C23">
        <v>360</v>
      </c>
      <c r="D23" t="s">
        <v>11</v>
      </c>
      <c r="E23">
        <v>360</v>
      </c>
      <c r="F23">
        <v>0</v>
      </c>
      <c r="G23">
        <v>11253</v>
      </c>
    </row>
    <row r="24" spans="1:8" x14ac:dyDescent="0.25">
      <c r="A24">
        <f t="shared" si="0"/>
        <v>22</v>
      </c>
      <c r="B24" t="s">
        <v>129</v>
      </c>
      <c r="C24">
        <v>450</v>
      </c>
      <c r="D24" t="s">
        <v>16</v>
      </c>
      <c r="E24">
        <v>450</v>
      </c>
      <c r="F24">
        <v>0</v>
      </c>
      <c r="G24">
        <v>11252</v>
      </c>
    </row>
    <row r="25" spans="1:8" x14ac:dyDescent="0.25">
      <c r="A25">
        <f t="shared" si="0"/>
        <v>23</v>
      </c>
      <c r="B25" t="s">
        <v>130</v>
      </c>
      <c r="C25">
        <v>310</v>
      </c>
      <c r="D25" t="s">
        <v>11</v>
      </c>
      <c r="E25">
        <v>310</v>
      </c>
      <c r="F25">
        <v>0</v>
      </c>
      <c r="G25">
        <v>11257</v>
      </c>
    </row>
    <row r="26" spans="1:8" x14ac:dyDescent="0.25">
      <c r="A26">
        <f t="shared" si="0"/>
        <v>24</v>
      </c>
      <c r="B26" t="s">
        <v>99</v>
      </c>
      <c r="C26">
        <v>300</v>
      </c>
      <c r="D26" t="s">
        <v>17</v>
      </c>
      <c r="E26">
        <v>60</v>
      </c>
      <c r="F26">
        <v>0</v>
      </c>
      <c r="G26">
        <v>11282</v>
      </c>
      <c r="H26">
        <v>11283</v>
      </c>
    </row>
    <row r="27" spans="1:8" x14ac:dyDescent="0.25">
      <c r="A27">
        <f t="shared" si="0"/>
        <v>25</v>
      </c>
      <c r="B27" t="s">
        <v>131</v>
      </c>
      <c r="C27">
        <v>100</v>
      </c>
      <c r="D27" t="s">
        <v>34</v>
      </c>
      <c r="E27">
        <v>100</v>
      </c>
      <c r="F27">
        <v>2</v>
      </c>
      <c r="G27">
        <v>11291</v>
      </c>
    </row>
    <row r="28" spans="1:8" x14ac:dyDescent="0.25">
      <c r="A28">
        <f t="shared" si="0"/>
        <v>26</v>
      </c>
      <c r="B28" t="s">
        <v>132</v>
      </c>
      <c r="C28">
        <v>150</v>
      </c>
      <c r="D28" t="s">
        <v>9</v>
      </c>
      <c r="E28">
        <v>150</v>
      </c>
      <c r="F28">
        <v>0</v>
      </c>
      <c r="G28">
        <v>11333</v>
      </c>
      <c r="H28">
        <v>11334</v>
      </c>
    </row>
    <row r="29" spans="1:8" x14ac:dyDescent="0.25">
      <c r="A29">
        <f t="shared" si="0"/>
        <v>27</v>
      </c>
      <c r="B29" t="s">
        <v>133</v>
      </c>
      <c r="C29">
        <v>150</v>
      </c>
      <c r="D29" t="s">
        <v>9</v>
      </c>
      <c r="E29">
        <v>150</v>
      </c>
      <c r="F29">
        <v>0</v>
      </c>
      <c r="G29">
        <v>11821</v>
      </c>
      <c r="H29">
        <v>11822</v>
      </c>
    </row>
    <row r="30" spans="1:8" x14ac:dyDescent="0.25">
      <c r="A30">
        <f t="shared" si="0"/>
        <v>28</v>
      </c>
      <c r="B30" t="s">
        <v>134</v>
      </c>
      <c r="C30">
        <v>150</v>
      </c>
      <c r="D30" t="s">
        <v>9</v>
      </c>
      <c r="E30">
        <v>150</v>
      </c>
      <c r="F30">
        <v>0</v>
      </c>
      <c r="G30">
        <v>11951</v>
      </c>
      <c r="H30">
        <v>11823</v>
      </c>
    </row>
    <row r="31" spans="1:8" x14ac:dyDescent="0.25">
      <c r="A31">
        <f t="shared" si="0"/>
        <v>29</v>
      </c>
      <c r="B31" t="s">
        <v>135</v>
      </c>
      <c r="C31">
        <v>150</v>
      </c>
      <c r="D31" t="s">
        <v>9</v>
      </c>
      <c r="E31">
        <v>45</v>
      </c>
      <c r="F31">
        <v>0</v>
      </c>
      <c r="G31">
        <v>11819</v>
      </c>
    </row>
    <row r="32" spans="1:8" x14ac:dyDescent="0.25">
      <c r="A32">
        <f t="shared" si="0"/>
        <v>30</v>
      </c>
      <c r="B32" t="s">
        <v>100</v>
      </c>
      <c r="C32">
        <v>240</v>
      </c>
      <c r="D32" t="s">
        <v>21</v>
      </c>
      <c r="E32">
        <v>240</v>
      </c>
      <c r="F32">
        <v>3</v>
      </c>
      <c r="G32">
        <v>11457</v>
      </c>
      <c r="H32">
        <v>11458</v>
      </c>
    </row>
    <row r="33" spans="1:8" x14ac:dyDescent="0.25">
      <c r="A33">
        <f t="shared" si="0"/>
        <v>31</v>
      </c>
      <c r="B33" t="s">
        <v>18</v>
      </c>
      <c r="C33">
        <v>200</v>
      </c>
      <c r="D33" t="s">
        <v>21</v>
      </c>
      <c r="E33">
        <v>100</v>
      </c>
      <c r="F33">
        <v>3</v>
      </c>
      <c r="G33">
        <v>11147</v>
      </c>
      <c r="H33">
        <v>11148</v>
      </c>
    </row>
    <row r="34" spans="1:8" x14ac:dyDescent="0.25">
      <c r="A34">
        <f t="shared" si="0"/>
        <v>32</v>
      </c>
      <c r="B34" t="s">
        <v>101</v>
      </c>
      <c r="C34">
        <v>500</v>
      </c>
      <c r="D34" t="s">
        <v>17</v>
      </c>
      <c r="E34">
        <v>100</v>
      </c>
      <c r="F34">
        <v>0</v>
      </c>
      <c r="G34">
        <v>11529</v>
      </c>
      <c r="H34">
        <v>11530</v>
      </c>
    </row>
    <row r="35" spans="1:8" x14ac:dyDescent="0.25">
      <c r="A35">
        <f t="shared" si="0"/>
        <v>33</v>
      </c>
      <c r="B35" t="s">
        <v>136</v>
      </c>
      <c r="C35">
        <v>100</v>
      </c>
      <c r="D35" t="s">
        <v>19</v>
      </c>
      <c r="E35">
        <v>2</v>
      </c>
      <c r="F35">
        <v>0</v>
      </c>
      <c r="G35">
        <v>11955</v>
      </c>
    </row>
    <row r="36" spans="1:8" x14ac:dyDescent="0.25">
      <c r="A36">
        <f t="shared" si="0"/>
        <v>34</v>
      </c>
      <c r="B36" t="s">
        <v>137</v>
      </c>
      <c r="C36">
        <v>500</v>
      </c>
      <c r="D36" t="s">
        <v>20</v>
      </c>
      <c r="E36">
        <v>500</v>
      </c>
      <c r="F36">
        <v>0</v>
      </c>
      <c r="G36">
        <v>11547</v>
      </c>
    </row>
    <row r="37" spans="1:8" x14ac:dyDescent="0.25">
      <c r="A37">
        <f t="shared" si="0"/>
        <v>35</v>
      </c>
      <c r="B37" t="s">
        <v>138</v>
      </c>
      <c r="C37">
        <v>400</v>
      </c>
      <c r="D37" t="s">
        <v>20</v>
      </c>
      <c r="E37">
        <v>400</v>
      </c>
      <c r="F37">
        <v>0</v>
      </c>
      <c r="G37">
        <v>11531</v>
      </c>
    </row>
    <row r="38" spans="1:8" x14ac:dyDescent="0.25">
      <c r="A38">
        <f t="shared" si="0"/>
        <v>36</v>
      </c>
      <c r="B38" t="s">
        <v>139</v>
      </c>
      <c r="C38">
        <v>100</v>
      </c>
      <c r="D38" t="s">
        <v>21</v>
      </c>
      <c r="E38">
        <v>100</v>
      </c>
      <c r="F38">
        <v>3</v>
      </c>
      <c r="G38">
        <v>11591</v>
      </c>
    </row>
    <row r="40" spans="1:8" x14ac:dyDescent="0.25">
      <c r="A40" s="1" t="s">
        <v>22</v>
      </c>
      <c r="B40" s="1"/>
      <c r="C40" s="1"/>
      <c r="D40" s="1"/>
      <c r="E40" s="1"/>
      <c r="G40" s="1"/>
      <c r="H40" s="1"/>
    </row>
    <row r="41" spans="1:8" x14ac:dyDescent="0.25">
      <c r="A41">
        <f>1+A38</f>
        <v>37</v>
      </c>
      <c r="B41" t="s">
        <v>140</v>
      </c>
      <c r="C41">
        <v>500</v>
      </c>
      <c r="D41" t="s">
        <v>17</v>
      </c>
      <c r="E41">
        <v>82</v>
      </c>
      <c r="F41">
        <v>0</v>
      </c>
      <c r="G41">
        <v>11080</v>
      </c>
      <c r="H41">
        <v>11081</v>
      </c>
    </row>
    <row r="42" spans="1:8" x14ac:dyDescent="0.25">
      <c r="A42">
        <f>1+A41</f>
        <v>38</v>
      </c>
      <c r="B42" t="s">
        <v>141</v>
      </c>
      <c r="C42">
        <v>230</v>
      </c>
      <c r="D42" t="s">
        <v>17</v>
      </c>
      <c r="E42">
        <v>230</v>
      </c>
      <c r="F42">
        <v>0</v>
      </c>
      <c r="G42">
        <v>11609</v>
      </c>
    </row>
    <row r="43" spans="1:8" x14ac:dyDescent="0.25">
      <c r="A43">
        <f>1+A42</f>
        <v>39</v>
      </c>
      <c r="B43" t="s">
        <v>30</v>
      </c>
      <c r="C43">
        <v>1000</v>
      </c>
      <c r="D43" t="s">
        <v>32</v>
      </c>
      <c r="E43">
        <v>60</v>
      </c>
      <c r="F43">
        <v>0</v>
      </c>
      <c r="G43">
        <v>11124</v>
      </c>
      <c r="H43">
        <v>11125</v>
      </c>
    </row>
    <row r="44" spans="1:8" x14ac:dyDescent="0.25">
      <c r="A44">
        <f t="shared" ref="A44:A46" si="1">1+A43</f>
        <v>40</v>
      </c>
      <c r="B44" t="s">
        <v>102</v>
      </c>
      <c r="C44">
        <v>840</v>
      </c>
      <c r="D44" t="s">
        <v>9</v>
      </c>
      <c r="E44">
        <v>840</v>
      </c>
      <c r="F44">
        <v>0</v>
      </c>
      <c r="G44">
        <v>11135</v>
      </c>
      <c r="H44">
        <v>11136</v>
      </c>
    </row>
    <row r="45" spans="1:8" x14ac:dyDescent="0.25">
      <c r="A45">
        <f t="shared" si="1"/>
        <v>41</v>
      </c>
      <c r="B45" t="s">
        <v>103</v>
      </c>
      <c r="C45">
        <v>125</v>
      </c>
      <c r="D45" t="s">
        <v>33</v>
      </c>
      <c r="E45">
        <v>125</v>
      </c>
      <c r="F45">
        <v>0</v>
      </c>
      <c r="G45">
        <v>11167</v>
      </c>
      <c r="H45">
        <v>11168</v>
      </c>
    </row>
    <row r="46" spans="1:8" x14ac:dyDescent="0.25">
      <c r="A46">
        <f t="shared" si="1"/>
        <v>42</v>
      </c>
      <c r="B46" t="s">
        <v>142</v>
      </c>
      <c r="C46">
        <v>1000</v>
      </c>
      <c r="D46" t="s">
        <v>34</v>
      </c>
      <c r="E46">
        <v>165</v>
      </c>
      <c r="F46">
        <v>2</v>
      </c>
      <c r="H46">
        <v>11179</v>
      </c>
    </row>
    <row r="47" spans="1:8" x14ac:dyDescent="0.25">
      <c r="A47">
        <f>1+A46</f>
        <v>43</v>
      </c>
      <c r="B47" t="s">
        <v>143</v>
      </c>
      <c r="C47">
        <v>260</v>
      </c>
      <c r="D47" t="s">
        <v>20</v>
      </c>
      <c r="E47">
        <v>130</v>
      </c>
      <c r="F47">
        <v>3</v>
      </c>
      <c r="G47">
        <v>11172</v>
      </c>
    </row>
    <row r="48" spans="1:8" x14ac:dyDescent="0.25">
      <c r="A48">
        <f t="shared" ref="A48:A55" si="2">1+A47</f>
        <v>44</v>
      </c>
      <c r="B48" t="s">
        <v>36</v>
      </c>
      <c r="C48">
        <v>30</v>
      </c>
      <c r="D48" t="s">
        <v>37</v>
      </c>
      <c r="E48">
        <v>2</v>
      </c>
      <c r="F48">
        <v>1</v>
      </c>
      <c r="G48">
        <v>11216</v>
      </c>
    </row>
    <row r="49" spans="1:8" x14ac:dyDescent="0.25">
      <c r="A49">
        <f t="shared" si="2"/>
        <v>45</v>
      </c>
      <c r="B49" t="s">
        <v>38</v>
      </c>
      <c r="C49">
        <v>160</v>
      </c>
      <c r="D49" t="s">
        <v>39</v>
      </c>
      <c r="E49">
        <v>160</v>
      </c>
      <c r="F49">
        <v>0</v>
      </c>
      <c r="G49">
        <v>11298</v>
      </c>
      <c r="H49">
        <v>11299</v>
      </c>
    </row>
    <row r="50" spans="1:8" x14ac:dyDescent="0.25">
      <c r="A50">
        <f t="shared" si="2"/>
        <v>46</v>
      </c>
      <c r="B50" t="s">
        <v>40</v>
      </c>
      <c r="C50">
        <v>1000</v>
      </c>
      <c r="D50" t="s">
        <v>41</v>
      </c>
      <c r="E50">
        <v>245</v>
      </c>
      <c r="F50">
        <v>2</v>
      </c>
      <c r="G50">
        <v>11422</v>
      </c>
      <c r="H50">
        <v>11423</v>
      </c>
    </row>
    <row r="51" spans="1:8" x14ac:dyDescent="0.25">
      <c r="A51">
        <f t="shared" si="2"/>
        <v>47</v>
      </c>
      <c r="B51" t="s">
        <v>44</v>
      </c>
    </row>
    <row r="52" spans="1:8" x14ac:dyDescent="0.25">
      <c r="A52">
        <f t="shared" si="2"/>
        <v>48</v>
      </c>
      <c r="B52" t="s">
        <v>42</v>
      </c>
      <c r="C52">
        <v>700</v>
      </c>
      <c r="D52" t="s">
        <v>48</v>
      </c>
      <c r="E52">
        <v>700</v>
      </c>
      <c r="F52">
        <v>0</v>
      </c>
      <c r="H52">
        <v>11510</v>
      </c>
    </row>
    <row r="53" spans="1:8" x14ac:dyDescent="0.25">
      <c r="A53">
        <f t="shared" si="2"/>
        <v>49</v>
      </c>
      <c r="B53" t="s">
        <v>45</v>
      </c>
    </row>
    <row r="54" spans="1:8" x14ac:dyDescent="0.25">
      <c r="A54">
        <f t="shared" si="2"/>
        <v>50</v>
      </c>
      <c r="B54" t="s">
        <v>43</v>
      </c>
      <c r="C54">
        <v>1000</v>
      </c>
      <c r="D54" t="s">
        <v>47</v>
      </c>
      <c r="E54">
        <v>200</v>
      </c>
      <c r="F54">
        <v>0</v>
      </c>
      <c r="H54">
        <v>11363</v>
      </c>
    </row>
    <row r="55" spans="1:8" x14ac:dyDescent="0.25">
      <c r="A55">
        <f t="shared" si="2"/>
        <v>51</v>
      </c>
      <c r="B55" t="s">
        <v>46</v>
      </c>
    </row>
    <row r="57" spans="1:8" x14ac:dyDescent="0.25">
      <c r="A57" s="1" t="s">
        <v>31</v>
      </c>
      <c r="B57" s="1"/>
      <c r="C57" s="1"/>
      <c r="D57" s="1"/>
      <c r="E57" s="1"/>
      <c r="F57" s="1"/>
      <c r="G57" s="1"/>
      <c r="H57" s="1"/>
    </row>
    <row r="58" spans="1:8" x14ac:dyDescent="0.25">
      <c r="A58">
        <f>1+A55</f>
        <v>52</v>
      </c>
      <c r="B58" t="s">
        <v>104</v>
      </c>
      <c r="C58">
        <v>540</v>
      </c>
      <c r="D58" t="s">
        <v>65</v>
      </c>
      <c r="E58">
        <v>90</v>
      </c>
      <c r="F58" s="1">
        <v>0</v>
      </c>
      <c r="G58">
        <v>9003</v>
      </c>
      <c r="H58">
        <v>9005</v>
      </c>
    </row>
    <row r="59" spans="1:8" x14ac:dyDescent="0.25">
      <c r="A59">
        <f>1+A58</f>
        <v>53</v>
      </c>
      <c r="B59" t="s">
        <v>145</v>
      </c>
      <c r="C59">
        <v>86</v>
      </c>
      <c r="D59" t="s">
        <v>34</v>
      </c>
      <c r="E59">
        <v>86</v>
      </c>
      <c r="F59" s="1">
        <v>2</v>
      </c>
      <c r="G59">
        <v>9011</v>
      </c>
      <c r="H59">
        <v>9012</v>
      </c>
    </row>
    <row r="60" spans="1:8" x14ac:dyDescent="0.25">
      <c r="A60">
        <f t="shared" ref="A60:A100" si="3">1+A59</f>
        <v>54</v>
      </c>
      <c r="B60" t="s">
        <v>49</v>
      </c>
      <c r="C60">
        <v>300</v>
      </c>
      <c r="D60" t="s">
        <v>14</v>
      </c>
      <c r="E60">
        <v>150</v>
      </c>
      <c r="F60" s="1">
        <v>0</v>
      </c>
      <c r="G60">
        <v>9037</v>
      </c>
    </row>
    <row r="61" spans="1:8" x14ac:dyDescent="0.25">
      <c r="A61">
        <f t="shared" si="3"/>
        <v>55</v>
      </c>
      <c r="B61" t="s">
        <v>105</v>
      </c>
      <c r="C61">
        <v>300</v>
      </c>
      <c r="D61" t="s">
        <v>14</v>
      </c>
      <c r="E61">
        <v>50</v>
      </c>
      <c r="F61" s="1">
        <v>0</v>
      </c>
      <c r="G61">
        <v>9021</v>
      </c>
    </row>
    <row r="62" spans="1:8" x14ac:dyDescent="0.25">
      <c r="A62">
        <f t="shared" si="3"/>
        <v>56</v>
      </c>
      <c r="B62" t="s">
        <v>106</v>
      </c>
      <c r="C62">
        <v>660</v>
      </c>
      <c r="D62" t="s">
        <v>14</v>
      </c>
      <c r="E62">
        <v>110</v>
      </c>
      <c r="F62" s="1">
        <v>0</v>
      </c>
      <c r="G62">
        <v>9040</v>
      </c>
    </row>
    <row r="63" spans="1:8" x14ac:dyDescent="0.25">
      <c r="A63">
        <f t="shared" si="3"/>
        <v>57</v>
      </c>
      <c r="B63" t="s">
        <v>146</v>
      </c>
      <c r="C63">
        <v>200</v>
      </c>
      <c r="D63" t="s">
        <v>34</v>
      </c>
      <c r="E63">
        <v>100</v>
      </c>
      <c r="F63" s="1">
        <v>2</v>
      </c>
      <c r="G63">
        <v>9041</v>
      </c>
    </row>
    <row r="64" spans="1:8" x14ac:dyDescent="0.25">
      <c r="A64">
        <f t="shared" si="3"/>
        <v>58</v>
      </c>
      <c r="B64" t="s">
        <v>50</v>
      </c>
      <c r="C64">
        <v>144</v>
      </c>
      <c r="D64" t="s">
        <v>34</v>
      </c>
      <c r="E64">
        <v>144</v>
      </c>
      <c r="F64" s="1">
        <v>2</v>
      </c>
      <c r="G64">
        <v>9042</v>
      </c>
    </row>
    <row r="65" spans="1:7" x14ac:dyDescent="0.25">
      <c r="A65">
        <f t="shared" si="3"/>
        <v>59</v>
      </c>
      <c r="B65" t="s">
        <v>107</v>
      </c>
      <c r="C65">
        <v>150</v>
      </c>
      <c r="D65" t="s">
        <v>34</v>
      </c>
      <c r="E65">
        <v>150</v>
      </c>
      <c r="F65" s="1">
        <v>2</v>
      </c>
      <c r="G65">
        <v>9050</v>
      </c>
    </row>
    <row r="66" spans="1:7" x14ac:dyDescent="0.25">
      <c r="A66">
        <f t="shared" ref="A66:A67" si="4">1+A65</f>
        <v>60</v>
      </c>
      <c r="B66" t="s">
        <v>147</v>
      </c>
      <c r="C66">
        <v>400</v>
      </c>
      <c r="D66" t="s">
        <v>34</v>
      </c>
      <c r="E66">
        <v>150</v>
      </c>
      <c r="F66" s="1">
        <v>2</v>
      </c>
      <c r="G66">
        <v>9054</v>
      </c>
    </row>
    <row r="67" spans="1:7" x14ac:dyDescent="0.25">
      <c r="A67">
        <f t="shared" si="4"/>
        <v>61</v>
      </c>
      <c r="B67" t="s">
        <v>51</v>
      </c>
      <c r="C67">
        <v>140</v>
      </c>
      <c r="D67" t="s">
        <v>34</v>
      </c>
      <c r="E67">
        <v>140</v>
      </c>
      <c r="F67" s="1">
        <v>2</v>
      </c>
      <c r="G67">
        <v>9070</v>
      </c>
    </row>
    <row r="68" spans="1:7" x14ac:dyDescent="0.25">
      <c r="A68">
        <f t="shared" si="3"/>
        <v>62</v>
      </c>
      <c r="B68" t="s">
        <v>66</v>
      </c>
      <c r="C68">
        <v>240</v>
      </c>
      <c r="D68" t="s">
        <v>34</v>
      </c>
      <c r="E68">
        <v>80</v>
      </c>
      <c r="F68" s="1">
        <v>2</v>
      </c>
      <c r="G68">
        <v>12104</v>
      </c>
    </row>
    <row r="69" spans="1:7" x14ac:dyDescent="0.25">
      <c r="A69">
        <f t="shared" ref="A69:A70" si="5">1+A68</f>
        <v>63</v>
      </c>
      <c r="B69" t="s">
        <v>67</v>
      </c>
      <c r="C69">
        <v>1000</v>
      </c>
      <c r="D69" t="s">
        <v>34</v>
      </c>
      <c r="E69">
        <v>240</v>
      </c>
      <c r="F69" s="1">
        <v>2</v>
      </c>
      <c r="G69">
        <v>12119</v>
      </c>
    </row>
    <row r="70" spans="1:7" x14ac:dyDescent="0.25">
      <c r="A70">
        <f t="shared" si="5"/>
        <v>64</v>
      </c>
      <c r="B70" t="s">
        <v>53</v>
      </c>
      <c r="C70">
        <v>200</v>
      </c>
      <c r="D70" t="s">
        <v>34</v>
      </c>
      <c r="E70">
        <v>100</v>
      </c>
      <c r="F70" s="1">
        <v>2</v>
      </c>
      <c r="G70">
        <v>9078</v>
      </c>
    </row>
    <row r="71" spans="1:7" x14ac:dyDescent="0.25">
      <c r="A71">
        <f t="shared" si="3"/>
        <v>65</v>
      </c>
      <c r="B71" t="s">
        <v>108</v>
      </c>
      <c r="C71">
        <v>224</v>
      </c>
      <c r="D71" t="s">
        <v>34</v>
      </c>
      <c r="E71">
        <v>112</v>
      </c>
      <c r="F71" s="1">
        <v>2</v>
      </c>
      <c r="G71">
        <v>9083</v>
      </c>
    </row>
    <row r="72" spans="1:7" x14ac:dyDescent="0.25">
      <c r="A72">
        <f t="shared" si="3"/>
        <v>66</v>
      </c>
      <c r="B72" t="s">
        <v>148</v>
      </c>
      <c r="C72">
        <v>200</v>
      </c>
      <c r="D72" t="s">
        <v>13</v>
      </c>
      <c r="E72">
        <v>7</v>
      </c>
      <c r="F72" s="1">
        <v>0</v>
      </c>
      <c r="G72">
        <v>9087</v>
      </c>
    </row>
    <row r="73" spans="1:7" x14ac:dyDescent="0.25">
      <c r="A73">
        <f t="shared" si="3"/>
        <v>67</v>
      </c>
      <c r="B73" t="s">
        <v>149</v>
      </c>
      <c r="C73">
        <v>200</v>
      </c>
      <c r="D73" t="s">
        <v>13</v>
      </c>
      <c r="E73">
        <v>24</v>
      </c>
      <c r="F73" s="1">
        <v>0</v>
      </c>
      <c r="G73">
        <v>9421</v>
      </c>
    </row>
    <row r="74" spans="1:7" x14ac:dyDescent="0.25">
      <c r="A74">
        <f t="shared" si="3"/>
        <v>68</v>
      </c>
      <c r="B74" t="s">
        <v>54</v>
      </c>
      <c r="C74">
        <v>290</v>
      </c>
      <c r="D74" t="s">
        <v>34</v>
      </c>
      <c r="E74">
        <v>145</v>
      </c>
      <c r="F74" s="1">
        <v>2</v>
      </c>
      <c r="G74">
        <v>9088</v>
      </c>
    </row>
    <row r="75" spans="1:7" x14ac:dyDescent="0.25">
      <c r="A75">
        <f t="shared" si="3"/>
        <v>69</v>
      </c>
      <c r="B75" t="s">
        <v>109</v>
      </c>
      <c r="C75">
        <v>200</v>
      </c>
      <c r="D75" t="s">
        <v>14</v>
      </c>
      <c r="E75">
        <v>50</v>
      </c>
      <c r="F75" s="1">
        <v>0</v>
      </c>
      <c r="G75">
        <v>9089</v>
      </c>
    </row>
    <row r="76" spans="1:7" x14ac:dyDescent="0.25">
      <c r="A76">
        <f t="shared" si="3"/>
        <v>70</v>
      </c>
      <c r="B76" t="s">
        <v>68</v>
      </c>
      <c r="C76">
        <v>200</v>
      </c>
      <c r="D76" t="s">
        <v>13</v>
      </c>
      <c r="E76">
        <v>8</v>
      </c>
      <c r="F76" s="1">
        <v>0</v>
      </c>
      <c r="G76">
        <v>9094</v>
      </c>
    </row>
    <row r="77" spans="1:7" x14ac:dyDescent="0.25">
      <c r="A77">
        <f t="shared" si="3"/>
        <v>71</v>
      </c>
      <c r="B77" t="s">
        <v>55</v>
      </c>
      <c r="C77">
        <v>300</v>
      </c>
      <c r="D77" t="s">
        <v>69</v>
      </c>
      <c r="E77">
        <v>300</v>
      </c>
      <c r="F77" s="1">
        <v>0</v>
      </c>
      <c r="G77">
        <v>9112</v>
      </c>
    </row>
    <row r="78" spans="1:7" x14ac:dyDescent="0.25">
      <c r="A78">
        <f t="shared" si="3"/>
        <v>72</v>
      </c>
      <c r="B78" t="s">
        <v>56</v>
      </c>
      <c r="C78">
        <v>200</v>
      </c>
      <c r="D78" t="s">
        <v>13</v>
      </c>
      <c r="E78">
        <v>5</v>
      </c>
      <c r="F78" s="1">
        <v>0</v>
      </c>
      <c r="G78">
        <v>9132</v>
      </c>
    </row>
    <row r="79" spans="1:7" x14ac:dyDescent="0.25">
      <c r="A79">
        <f t="shared" si="3"/>
        <v>73</v>
      </c>
      <c r="B79" t="s">
        <v>57</v>
      </c>
      <c r="C79">
        <v>2000</v>
      </c>
      <c r="D79" t="s">
        <v>9</v>
      </c>
      <c r="E79">
        <v>2000</v>
      </c>
      <c r="F79" s="1">
        <v>3</v>
      </c>
      <c r="G79">
        <v>9184</v>
      </c>
    </row>
    <row r="80" spans="1:7" x14ac:dyDescent="0.25">
      <c r="A80">
        <f t="shared" si="3"/>
        <v>74</v>
      </c>
      <c r="B80" t="s">
        <v>58</v>
      </c>
      <c r="C80">
        <v>420</v>
      </c>
      <c r="D80" t="s">
        <v>13</v>
      </c>
      <c r="E80">
        <v>70</v>
      </c>
      <c r="F80" s="1">
        <v>0</v>
      </c>
      <c r="G80">
        <v>9148</v>
      </c>
    </row>
    <row r="81" spans="1:8" x14ac:dyDescent="0.25">
      <c r="A81">
        <f t="shared" si="3"/>
        <v>75</v>
      </c>
      <c r="B81" t="s">
        <v>110</v>
      </c>
      <c r="C81">
        <v>300</v>
      </c>
      <c r="D81" t="s">
        <v>14</v>
      </c>
      <c r="E81">
        <v>60</v>
      </c>
      <c r="F81" s="1">
        <v>0</v>
      </c>
      <c r="G81">
        <v>9150</v>
      </c>
    </row>
    <row r="82" spans="1:8" x14ac:dyDescent="0.25">
      <c r="A82">
        <f t="shared" si="3"/>
        <v>76</v>
      </c>
      <c r="B82" t="s">
        <v>59</v>
      </c>
      <c r="C82">
        <v>300</v>
      </c>
      <c r="D82" t="s">
        <v>13</v>
      </c>
      <c r="E82">
        <v>60</v>
      </c>
      <c r="F82" s="1">
        <v>0</v>
      </c>
      <c r="G82">
        <v>9159</v>
      </c>
    </row>
    <row r="83" spans="1:8" x14ac:dyDescent="0.25">
      <c r="A83">
        <f t="shared" si="3"/>
        <v>77</v>
      </c>
      <c r="B83" t="s">
        <v>150</v>
      </c>
      <c r="C83">
        <v>480</v>
      </c>
      <c r="D83" t="s">
        <v>65</v>
      </c>
      <c r="E83">
        <v>80</v>
      </c>
      <c r="F83" s="1">
        <v>0</v>
      </c>
      <c r="G83">
        <v>9218</v>
      </c>
    </row>
    <row r="84" spans="1:8" x14ac:dyDescent="0.25">
      <c r="A84">
        <f t="shared" si="3"/>
        <v>78</v>
      </c>
      <c r="B84" t="s">
        <v>60</v>
      </c>
      <c r="C84">
        <v>350</v>
      </c>
      <c r="D84" t="s">
        <v>14</v>
      </c>
      <c r="E84">
        <v>350</v>
      </c>
      <c r="F84" s="1">
        <v>0</v>
      </c>
      <c r="G84">
        <v>9176</v>
      </c>
    </row>
    <row r="85" spans="1:8" x14ac:dyDescent="0.25">
      <c r="A85">
        <f t="shared" si="3"/>
        <v>79</v>
      </c>
      <c r="B85" t="s">
        <v>62</v>
      </c>
      <c r="C85">
        <v>100</v>
      </c>
      <c r="D85" t="s">
        <v>21</v>
      </c>
      <c r="E85">
        <v>100</v>
      </c>
      <c r="F85" s="1">
        <v>3</v>
      </c>
      <c r="G85">
        <v>9178</v>
      </c>
    </row>
    <row r="86" spans="1:8" x14ac:dyDescent="0.25">
      <c r="A86">
        <f t="shared" si="3"/>
        <v>80</v>
      </c>
      <c r="B86" t="s">
        <v>61</v>
      </c>
      <c r="C86">
        <v>240</v>
      </c>
      <c r="D86" t="s">
        <v>65</v>
      </c>
      <c r="E86">
        <v>120</v>
      </c>
      <c r="F86" s="1">
        <v>0</v>
      </c>
      <c r="G86">
        <v>9191</v>
      </c>
    </row>
    <row r="87" spans="1:8" x14ac:dyDescent="0.25">
      <c r="A87">
        <f t="shared" si="3"/>
        <v>81</v>
      </c>
      <c r="B87" t="s">
        <v>63</v>
      </c>
      <c r="C87">
        <v>200</v>
      </c>
      <c r="D87" t="s">
        <v>13</v>
      </c>
      <c r="E87">
        <v>4</v>
      </c>
      <c r="F87" s="1">
        <v>0</v>
      </c>
      <c r="G87">
        <v>9193</v>
      </c>
    </row>
    <row r="88" spans="1:8" x14ac:dyDescent="0.25">
      <c r="A88">
        <f t="shared" si="3"/>
        <v>82</v>
      </c>
      <c r="B88" t="s">
        <v>111</v>
      </c>
      <c r="C88">
        <v>360</v>
      </c>
      <c r="D88" t="s">
        <v>71</v>
      </c>
      <c r="E88">
        <v>180</v>
      </c>
      <c r="F88" s="1">
        <v>0</v>
      </c>
      <c r="G88">
        <v>9200</v>
      </c>
    </row>
    <row r="89" spans="1:8" x14ac:dyDescent="0.25">
      <c r="A89">
        <f t="shared" si="3"/>
        <v>83</v>
      </c>
      <c r="B89" t="s">
        <v>112</v>
      </c>
      <c r="C89">
        <v>650</v>
      </c>
      <c r="D89" t="s">
        <v>70</v>
      </c>
      <c r="E89">
        <v>130</v>
      </c>
      <c r="F89" s="1">
        <v>0</v>
      </c>
      <c r="G89">
        <v>9236</v>
      </c>
    </row>
    <row r="90" spans="1:8" x14ac:dyDescent="0.25">
      <c r="A90">
        <f t="shared" si="3"/>
        <v>84</v>
      </c>
      <c r="B90" t="s">
        <v>151</v>
      </c>
      <c r="C90">
        <v>320</v>
      </c>
      <c r="D90" t="s">
        <v>34</v>
      </c>
      <c r="E90">
        <v>160</v>
      </c>
      <c r="F90" s="1">
        <v>2</v>
      </c>
      <c r="G90">
        <v>9246</v>
      </c>
      <c r="H90">
        <v>9247</v>
      </c>
    </row>
    <row r="91" spans="1:8" x14ac:dyDescent="0.25">
      <c r="A91">
        <f t="shared" si="3"/>
        <v>85</v>
      </c>
      <c r="B91" t="s">
        <v>113</v>
      </c>
      <c r="C91">
        <v>600</v>
      </c>
      <c r="D91" t="s">
        <v>72</v>
      </c>
      <c r="E91">
        <v>100</v>
      </c>
      <c r="F91" s="1">
        <v>0</v>
      </c>
      <c r="G91">
        <v>9252</v>
      </c>
    </row>
    <row r="92" spans="1:8" x14ac:dyDescent="0.25">
      <c r="A92">
        <f t="shared" si="3"/>
        <v>86</v>
      </c>
      <c r="B92" t="s">
        <v>152</v>
      </c>
      <c r="C92">
        <v>180</v>
      </c>
      <c r="D92" t="s">
        <v>34</v>
      </c>
      <c r="E92">
        <v>180</v>
      </c>
      <c r="F92" s="1">
        <v>2</v>
      </c>
      <c r="G92">
        <v>9259</v>
      </c>
    </row>
    <row r="93" spans="1:8" x14ac:dyDescent="0.25">
      <c r="A93">
        <f t="shared" si="3"/>
        <v>87</v>
      </c>
      <c r="B93" t="s">
        <v>114</v>
      </c>
      <c r="C93">
        <v>900</v>
      </c>
      <c r="D93" t="s">
        <v>13</v>
      </c>
      <c r="E93">
        <v>900</v>
      </c>
      <c r="F93" s="1">
        <v>0</v>
      </c>
      <c r="G93">
        <v>9266</v>
      </c>
    </row>
    <row r="94" spans="1:8" x14ac:dyDescent="0.25">
      <c r="A94">
        <f t="shared" si="3"/>
        <v>88</v>
      </c>
      <c r="B94" t="s">
        <v>115</v>
      </c>
      <c r="C94">
        <v>300</v>
      </c>
      <c r="D94" t="s">
        <v>73</v>
      </c>
      <c r="E94">
        <v>60</v>
      </c>
      <c r="F94" s="1">
        <v>0</v>
      </c>
      <c r="G94">
        <v>9279</v>
      </c>
    </row>
    <row r="95" spans="1:8" x14ac:dyDescent="0.25">
      <c r="A95">
        <f t="shared" si="3"/>
        <v>89</v>
      </c>
      <c r="B95" t="s">
        <v>153</v>
      </c>
      <c r="C95">
        <v>200</v>
      </c>
      <c r="D95" t="s">
        <v>13</v>
      </c>
      <c r="E95">
        <v>10</v>
      </c>
      <c r="F95" s="1">
        <v>0</v>
      </c>
      <c r="G95">
        <v>9291</v>
      </c>
      <c r="H95">
        <v>9292</v>
      </c>
    </row>
    <row r="96" spans="1:8" x14ac:dyDescent="0.25">
      <c r="A96">
        <f t="shared" si="3"/>
        <v>90</v>
      </c>
      <c r="B96" t="s">
        <v>116</v>
      </c>
      <c r="C96">
        <v>240</v>
      </c>
      <c r="D96" t="s">
        <v>34</v>
      </c>
      <c r="E96">
        <v>120</v>
      </c>
      <c r="F96" s="1">
        <v>2</v>
      </c>
      <c r="G96">
        <v>9302</v>
      </c>
    </row>
    <row r="97" spans="1:8" x14ac:dyDescent="0.25">
      <c r="A97">
        <f t="shared" si="3"/>
        <v>91</v>
      </c>
      <c r="B97" t="s">
        <v>154</v>
      </c>
      <c r="C97">
        <v>350</v>
      </c>
      <c r="D97" t="s">
        <v>34</v>
      </c>
      <c r="E97">
        <v>140</v>
      </c>
      <c r="F97" s="1">
        <v>2</v>
      </c>
      <c r="G97">
        <v>9518</v>
      </c>
    </row>
    <row r="98" spans="1:8" x14ac:dyDescent="0.25">
      <c r="A98">
        <f t="shared" si="3"/>
        <v>92</v>
      </c>
      <c r="B98" t="s">
        <v>117</v>
      </c>
      <c r="C98">
        <v>150</v>
      </c>
      <c r="D98" t="s">
        <v>34</v>
      </c>
      <c r="E98">
        <v>150</v>
      </c>
      <c r="F98" s="1">
        <v>2</v>
      </c>
      <c r="G98">
        <v>9316</v>
      </c>
    </row>
    <row r="99" spans="1:8" x14ac:dyDescent="0.25">
      <c r="A99">
        <f t="shared" si="3"/>
        <v>93</v>
      </c>
      <c r="B99" t="s">
        <v>74</v>
      </c>
      <c r="C99">
        <v>500</v>
      </c>
      <c r="D99" t="s">
        <v>34</v>
      </c>
      <c r="E99">
        <v>200</v>
      </c>
      <c r="F99" s="1">
        <v>2</v>
      </c>
      <c r="G99">
        <v>9318</v>
      </c>
    </row>
    <row r="100" spans="1:8" x14ac:dyDescent="0.25">
      <c r="A100">
        <f t="shared" si="3"/>
        <v>94</v>
      </c>
      <c r="B100" t="s">
        <v>64</v>
      </c>
      <c r="C100">
        <v>8000</v>
      </c>
      <c r="D100" t="s">
        <v>75</v>
      </c>
      <c r="E100">
        <v>8000</v>
      </c>
      <c r="F100" s="1">
        <v>0</v>
      </c>
      <c r="G100">
        <v>9326</v>
      </c>
    </row>
    <row r="102" spans="1:8" x14ac:dyDescent="0.25">
      <c r="A102" s="1" t="s">
        <v>172</v>
      </c>
      <c r="B102" s="1"/>
      <c r="C102" s="1"/>
      <c r="D102" s="1"/>
      <c r="E102" s="1"/>
      <c r="F102" s="1"/>
      <c r="G102" s="1"/>
      <c r="H102" s="1"/>
    </row>
    <row r="103" spans="1:8" x14ac:dyDescent="0.25">
      <c r="A103">
        <f>1+A100</f>
        <v>95</v>
      </c>
      <c r="B103" s="1" t="s">
        <v>76</v>
      </c>
      <c r="C103" s="1">
        <v>200</v>
      </c>
      <c r="D103" s="1" t="s">
        <v>77</v>
      </c>
      <c r="E103" s="1">
        <v>200</v>
      </c>
      <c r="F103" s="1">
        <v>3</v>
      </c>
      <c r="G103">
        <v>1019</v>
      </c>
    </row>
    <row r="104" spans="1:8" x14ac:dyDescent="0.25">
      <c r="A104">
        <f t="shared" ref="A104:A116" si="6">1+A103</f>
        <v>96</v>
      </c>
      <c r="B104" s="1" t="s">
        <v>78</v>
      </c>
      <c r="C104" s="1">
        <v>150</v>
      </c>
      <c r="D104" s="1" t="s">
        <v>77</v>
      </c>
      <c r="E104" s="1">
        <v>150</v>
      </c>
      <c r="F104" s="1">
        <v>3</v>
      </c>
      <c r="G104">
        <v>1026</v>
      </c>
    </row>
    <row r="105" spans="1:8" x14ac:dyDescent="0.25">
      <c r="A105">
        <f t="shared" si="6"/>
        <v>97</v>
      </c>
      <c r="B105" s="1" t="s">
        <v>79</v>
      </c>
      <c r="C105" s="1">
        <v>400</v>
      </c>
      <c r="D105" s="1" t="s">
        <v>77</v>
      </c>
      <c r="E105" s="1">
        <v>400</v>
      </c>
      <c r="F105" s="1">
        <v>3</v>
      </c>
      <c r="G105">
        <v>1009</v>
      </c>
    </row>
    <row r="106" spans="1:8" x14ac:dyDescent="0.25">
      <c r="A106">
        <f t="shared" si="6"/>
        <v>98</v>
      </c>
      <c r="B106" s="1" t="s">
        <v>80</v>
      </c>
      <c r="C106" s="1">
        <v>1000</v>
      </c>
      <c r="D106" s="1" t="s">
        <v>34</v>
      </c>
      <c r="E106" s="1">
        <v>250</v>
      </c>
      <c r="F106" s="1">
        <v>2</v>
      </c>
      <c r="G106">
        <v>1077</v>
      </c>
    </row>
    <row r="107" spans="1:8" x14ac:dyDescent="0.25">
      <c r="A107">
        <f t="shared" si="6"/>
        <v>99</v>
      </c>
      <c r="B107" s="1" t="s">
        <v>81</v>
      </c>
      <c r="C107" s="1">
        <v>1000</v>
      </c>
      <c r="D107" s="1" t="s">
        <v>34</v>
      </c>
      <c r="E107" s="1">
        <v>250</v>
      </c>
      <c r="F107" s="1">
        <v>2</v>
      </c>
      <c r="G107">
        <v>1079</v>
      </c>
    </row>
    <row r="108" spans="1:8" x14ac:dyDescent="0.25">
      <c r="A108">
        <f t="shared" si="6"/>
        <v>100</v>
      </c>
      <c r="B108" s="1" t="s">
        <v>82</v>
      </c>
      <c r="C108" s="1">
        <v>1000</v>
      </c>
      <c r="D108" s="1" t="s">
        <v>34</v>
      </c>
      <c r="E108" s="1">
        <v>250</v>
      </c>
      <c r="F108" s="1">
        <v>2</v>
      </c>
      <c r="G108">
        <v>1082</v>
      </c>
    </row>
    <row r="109" spans="1:8" x14ac:dyDescent="0.25">
      <c r="A109">
        <f t="shared" si="6"/>
        <v>101</v>
      </c>
      <c r="B109" s="1" t="s">
        <v>83</v>
      </c>
      <c r="C109" s="1">
        <v>1000</v>
      </c>
      <c r="D109" s="1" t="s">
        <v>34</v>
      </c>
      <c r="E109" s="1">
        <v>250</v>
      </c>
      <c r="F109" s="1">
        <v>2</v>
      </c>
      <c r="G109">
        <v>14091</v>
      </c>
    </row>
    <row r="110" spans="1:8" x14ac:dyDescent="0.25">
      <c r="A110">
        <f t="shared" si="6"/>
        <v>102</v>
      </c>
      <c r="B110" s="1" t="s">
        <v>84</v>
      </c>
      <c r="C110" s="1">
        <v>1000</v>
      </c>
      <c r="D110" s="1" t="s">
        <v>34</v>
      </c>
      <c r="E110" s="1">
        <v>250</v>
      </c>
      <c r="F110" s="1">
        <v>2</v>
      </c>
      <c r="G110">
        <v>1106</v>
      </c>
      <c r="H110" s="1"/>
    </row>
    <row r="111" spans="1:8" x14ac:dyDescent="0.25">
      <c r="A111">
        <f t="shared" si="6"/>
        <v>103</v>
      </c>
      <c r="B111" s="1" t="s">
        <v>85</v>
      </c>
      <c r="C111" s="1">
        <v>500</v>
      </c>
      <c r="D111" s="1" t="s">
        <v>89</v>
      </c>
      <c r="E111" s="1">
        <v>500</v>
      </c>
      <c r="F111" s="1">
        <v>3</v>
      </c>
      <c r="G111">
        <v>1116</v>
      </c>
    </row>
    <row r="112" spans="1:8" x14ac:dyDescent="0.25">
      <c r="A112">
        <f t="shared" si="6"/>
        <v>104</v>
      </c>
      <c r="B112" s="1" t="s">
        <v>86</v>
      </c>
      <c r="C112" s="1">
        <v>500</v>
      </c>
      <c r="D112" s="1" t="s">
        <v>89</v>
      </c>
      <c r="E112" s="1">
        <v>500</v>
      </c>
      <c r="F112" s="1">
        <v>3</v>
      </c>
      <c r="G112">
        <v>1117</v>
      </c>
    </row>
    <row r="113" spans="1:8" x14ac:dyDescent="0.25">
      <c r="A113">
        <f t="shared" si="6"/>
        <v>105</v>
      </c>
      <c r="B113" s="1" t="s">
        <v>87</v>
      </c>
      <c r="C113" s="1">
        <v>500</v>
      </c>
      <c r="D113" s="1" t="s">
        <v>89</v>
      </c>
      <c r="E113" s="1">
        <v>500</v>
      </c>
      <c r="F113" s="1">
        <v>3</v>
      </c>
      <c r="G113">
        <v>1293</v>
      </c>
    </row>
    <row r="114" spans="1:8" x14ac:dyDescent="0.25">
      <c r="A114">
        <f t="shared" si="6"/>
        <v>106</v>
      </c>
      <c r="B114" s="1" t="s">
        <v>88</v>
      </c>
      <c r="C114" s="1">
        <v>500</v>
      </c>
      <c r="D114" s="1" t="s">
        <v>89</v>
      </c>
      <c r="E114" s="1">
        <v>500</v>
      </c>
      <c r="F114" s="1">
        <v>3</v>
      </c>
      <c r="G114">
        <v>1287</v>
      </c>
    </row>
    <row r="115" spans="1:8" x14ac:dyDescent="0.25">
      <c r="A115">
        <f t="shared" si="6"/>
        <v>107</v>
      </c>
      <c r="B115" s="1" t="s">
        <v>288</v>
      </c>
      <c r="C115" s="1">
        <v>250</v>
      </c>
      <c r="D115" s="1" t="s">
        <v>176</v>
      </c>
      <c r="E115" s="1">
        <v>14</v>
      </c>
      <c r="F115" s="1">
        <v>1</v>
      </c>
      <c r="G115">
        <v>1145</v>
      </c>
    </row>
    <row r="116" spans="1:8" x14ac:dyDescent="0.25">
      <c r="A116">
        <f t="shared" si="6"/>
        <v>108</v>
      </c>
      <c r="B116" s="1" t="s">
        <v>155</v>
      </c>
      <c r="C116" s="1">
        <f>6*E116</f>
        <v>270</v>
      </c>
      <c r="D116" s="1" t="s">
        <v>14</v>
      </c>
      <c r="E116" s="1">
        <v>45</v>
      </c>
      <c r="F116" s="1">
        <v>0</v>
      </c>
      <c r="G116">
        <v>1123</v>
      </c>
      <c r="H116">
        <v>1129</v>
      </c>
    </row>
    <row r="118" spans="1:8" x14ac:dyDescent="0.25">
      <c r="A118" s="1" t="s">
        <v>23</v>
      </c>
      <c r="B118" s="1"/>
      <c r="C118" s="1"/>
      <c r="D118" s="1"/>
      <c r="E118" s="1"/>
      <c r="F118" s="1"/>
      <c r="G118" s="1"/>
      <c r="H118" s="1"/>
    </row>
    <row r="119" spans="1:8" x14ac:dyDescent="0.25">
      <c r="A119">
        <f>1+A116</f>
        <v>109</v>
      </c>
      <c r="B119" t="s">
        <v>156</v>
      </c>
      <c r="C119">
        <v>360</v>
      </c>
      <c r="D119" t="s">
        <v>160</v>
      </c>
      <c r="E119">
        <v>60</v>
      </c>
      <c r="F119">
        <v>0</v>
      </c>
      <c r="G119">
        <v>18041</v>
      </c>
    </row>
    <row r="120" spans="1:8" x14ac:dyDescent="0.25">
      <c r="A120">
        <f>1+A119</f>
        <v>110</v>
      </c>
      <c r="B120" t="s">
        <v>157</v>
      </c>
      <c r="C120">
        <v>360</v>
      </c>
      <c r="D120" t="s">
        <v>160</v>
      </c>
      <c r="E120">
        <v>60</v>
      </c>
      <c r="F120">
        <v>0</v>
      </c>
      <c r="G120">
        <v>18042</v>
      </c>
    </row>
    <row r="121" spans="1:8" x14ac:dyDescent="0.25">
      <c r="A121">
        <f t="shared" ref="A121:A130" si="7">1+A120</f>
        <v>111</v>
      </c>
      <c r="B121" t="s">
        <v>158</v>
      </c>
      <c r="C121">
        <v>800</v>
      </c>
      <c r="D121" t="s">
        <v>159</v>
      </c>
      <c r="E121">
        <v>50</v>
      </c>
      <c r="F121">
        <v>0</v>
      </c>
      <c r="G121">
        <v>18069</v>
      </c>
      <c r="H121">
        <v>18070</v>
      </c>
    </row>
    <row r="122" spans="1:8" x14ac:dyDescent="0.25">
      <c r="A122">
        <f t="shared" si="7"/>
        <v>112</v>
      </c>
      <c r="B122" t="s">
        <v>161</v>
      </c>
      <c r="C122">
        <v>800</v>
      </c>
      <c r="D122" t="s">
        <v>159</v>
      </c>
      <c r="E122">
        <v>40</v>
      </c>
      <c r="F122">
        <v>0</v>
      </c>
      <c r="G122">
        <v>18075</v>
      </c>
      <c r="H122">
        <v>18076</v>
      </c>
    </row>
    <row r="123" spans="1:8" x14ac:dyDescent="0.25">
      <c r="A123">
        <f t="shared" si="7"/>
        <v>113</v>
      </c>
      <c r="B123" t="s">
        <v>162</v>
      </c>
      <c r="C123">
        <v>1000</v>
      </c>
      <c r="D123" t="s">
        <v>34</v>
      </c>
      <c r="E123">
        <v>125</v>
      </c>
      <c r="F123">
        <v>2</v>
      </c>
      <c r="G123">
        <v>20581</v>
      </c>
    </row>
    <row r="124" spans="1:8" x14ac:dyDescent="0.25">
      <c r="A124">
        <f t="shared" si="7"/>
        <v>114</v>
      </c>
      <c r="B124" t="s">
        <v>163</v>
      </c>
      <c r="C124">
        <v>1000</v>
      </c>
      <c r="D124" t="s">
        <v>34</v>
      </c>
      <c r="E124">
        <v>125</v>
      </c>
      <c r="F124">
        <v>2</v>
      </c>
      <c r="G124">
        <v>20082</v>
      </c>
    </row>
    <row r="125" spans="1:8" x14ac:dyDescent="0.25">
      <c r="A125">
        <f t="shared" si="7"/>
        <v>115</v>
      </c>
      <c r="B125" t="s">
        <v>164</v>
      </c>
      <c r="C125">
        <v>1000</v>
      </c>
      <c r="D125" t="s">
        <v>169</v>
      </c>
      <c r="E125">
        <v>81</v>
      </c>
      <c r="F125">
        <v>2</v>
      </c>
      <c r="G125">
        <v>8120</v>
      </c>
      <c r="H125">
        <v>8121</v>
      </c>
    </row>
    <row r="126" spans="1:8" x14ac:dyDescent="0.25">
      <c r="A126">
        <f t="shared" si="7"/>
        <v>116</v>
      </c>
      <c r="B126" t="s">
        <v>168</v>
      </c>
      <c r="C126">
        <v>800</v>
      </c>
      <c r="D126" t="s">
        <v>34</v>
      </c>
      <c r="E126">
        <v>95</v>
      </c>
      <c r="F126">
        <v>2</v>
      </c>
      <c r="G126">
        <v>20033</v>
      </c>
      <c r="H126">
        <v>20034</v>
      </c>
    </row>
    <row r="127" spans="1:8" x14ac:dyDescent="0.25">
      <c r="A127">
        <f t="shared" si="7"/>
        <v>117</v>
      </c>
      <c r="B127" t="s">
        <v>166</v>
      </c>
      <c r="C127">
        <v>1000</v>
      </c>
      <c r="D127" t="s">
        <v>34</v>
      </c>
      <c r="E127">
        <v>185</v>
      </c>
      <c r="F127">
        <v>2</v>
      </c>
      <c r="G127">
        <v>20444</v>
      </c>
      <c r="H127">
        <v>20445</v>
      </c>
    </row>
    <row r="128" spans="1:8" x14ac:dyDescent="0.25">
      <c r="A128">
        <f t="shared" si="7"/>
        <v>118</v>
      </c>
      <c r="B128" t="s">
        <v>165</v>
      </c>
      <c r="C128">
        <v>1000</v>
      </c>
      <c r="D128" t="s">
        <v>34</v>
      </c>
      <c r="E128">
        <v>190</v>
      </c>
      <c r="F128">
        <v>2</v>
      </c>
      <c r="G128">
        <v>20040</v>
      </c>
      <c r="H128">
        <v>20041</v>
      </c>
    </row>
    <row r="129" spans="1:8" x14ac:dyDescent="0.25">
      <c r="A129">
        <f t="shared" si="7"/>
        <v>119</v>
      </c>
      <c r="B129" t="s">
        <v>167</v>
      </c>
      <c r="C129">
        <v>250</v>
      </c>
      <c r="D129" t="s">
        <v>21</v>
      </c>
      <c r="E129">
        <v>250</v>
      </c>
      <c r="F129">
        <v>3</v>
      </c>
      <c r="G129">
        <v>20133</v>
      </c>
      <c r="H129">
        <v>20134</v>
      </c>
    </row>
    <row r="130" spans="1:8" x14ac:dyDescent="0.25">
      <c r="A130">
        <f t="shared" si="7"/>
        <v>120</v>
      </c>
      <c r="B130" t="s">
        <v>170</v>
      </c>
      <c r="C130">
        <f>4*E130</f>
        <v>320</v>
      </c>
      <c r="D130" t="s">
        <v>171</v>
      </c>
      <c r="E130">
        <v>80</v>
      </c>
      <c r="F130">
        <v>0</v>
      </c>
      <c r="G130">
        <v>28313</v>
      </c>
    </row>
    <row r="132" spans="1:8" x14ac:dyDescent="0.25">
      <c r="A132" s="1" t="s">
        <v>173</v>
      </c>
      <c r="B132" s="1"/>
      <c r="C132" s="1"/>
      <c r="D132" s="1"/>
      <c r="E132" s="1"/>
      <c r="F132" s="1"/>
      <c r="G132" s="1"/>
      <c r="H132" s="1"/>
    </row>
    <row r="133" spans="1:8" x14ac:dyDescent="0.25">
      <c r="A133">
        <f>1+A130</f>
        <v>121</v>
      </c>
      <c r="B133" s="1" t="s">
        <v>174</v>
      </c>
      <c r="C133">
        <v>200</v>
      </c>
      <c r="D133" s="1" t="s">
        <v>179</v>
      </c>
      <c r="E133" s="1">
        <v>30</v>
      </c>
      <c r="F133" s="1">
        <v>0</v>
      </c>
      <c r="G133">
        <v>12061</v>
      </c>
      <c r="H133">
        <v>12063</v>
      </c>
    </row>
    <row r="134" spans="1:8" x14ac:dyDescent="0.25">
      <c r="A134">
        <f>1+A133</f>
        <v>122</v>
      </c>
      <c r="B134" s="1" t="s">
        <v>182</v>
      </c>
      <c r="C134">
        <v>200</v>
      </c>
      <c r="D134" s="1" t="s">
        <v>179</v>
      </c>
      <c r="E134" s="1">
        <v>30</v>
      </c>
      <c r="F134" s="1">
        <v>0</v>
      </c>
      <c r="G134">
        <v>12563</v>
      </c>
    </row>
    <row r="135" spans="1:8" x14ac:dyDescent="0.25">
      <c r="A135">
        <f t="shared" ref="A135:A152" si="8">1+A134</f>
        <v>123</v>
      </c>
      <c r="B135" s="1" t="s">
        <v>175</v>
      </c>
      <c r="C135">
        <v>170</v>
      </c>
      <c r="D135" t="s">
        <v>176</v>
      </c>
      <c r="E135" s="1">
        <v>16</v>
      </c>
      <c r="F135" s="1">
        <v>1</v>
      </c>
      <c r="G135">
        <v>12195</v>
      </c>
    </row>
    <row r="136" spans="1:8" x14ac:dyDescent="0.25">
      <c r="A136">
        <f t="shared" si="8"/>
        <v>124</v>
      </c>
      <c r="B136" s="1" t="s">
        <v>177</v>
      </c>
      <c r="C136">
        <v>200</v>
      </c>
      <c r="D136" t="s">
        <v>180</v>
      </c>
      <c r="E136" s="1">
        <v>30</v>
      </c>
      <c r="F136" s="1">
        <v>0</v>
      </c>
      <c r="G136">
        <v>12078</v>
      </c>
    </row>
    <row r="137" spans="1:8" x14ac:dyDescent="0.25">
      <c r="A137">
        <f t="shared" si="8"/>
        <v>125</v>
      </c>
      <c r="B137" s="1" t="s">
        <v>178</v>
      </c>
      <c r="C137">
        <v>200</v>
      </c>
      <c r="D137" t="s">
        <v>181</v>
      </c>
      <c r="E137" s="1">
        <v>30</v>
      </c>
      <c r="F137" s="1">
        <v>0</v>
      </c>
      <c r="G137">
        <v>12087</v>
      </c>
      <c r="H137">
        <v>12085</v>
      </c>
    </row>
    <row r="138" spans="1:8" x14ac:dyDescent="0.25">
      <c r="A138">
        <f t="shared" si="8"/>
        <v>126</v>
      </c>
      <c r="B138" s="1" t="s">
        <v>183</v>
      </c>
      <c r="C138">
        <v>200</v>
      </c>
      <c r="D138" t="s">
        <v>184</v>
      </c>
      <c r="E138" s="1">
        <v>30</v>
      </c>
      <c r="F138" s="1">
        <v>0</v>
      </c>
      <c r="G138">
        <v>12585</v>
      </c>
    </row>
    <row r="139" spans="1:8" x14ac:dyDescent="0.25">
      <c r="A139">
        <f t="shared" si="8"/>
        <v>127</v>
      </c>
      <c r="B139" s="1" t="s">
        <v>185</v>
      </c>
      <c r="C139">
        <v>170</v>
      </c>
      <c r="D139" t="s">
        <v>176</v>
      </c>
      <c r="E139" s="1">
        <v>16</v>
      </c>
      <c r="F139" s="1">
        <v>1</v>
      </c>
      <c r="G139">
        <v>12088</v>
      </c>
    </row>
    <row r="140" spans="1:8" x14ac:dyDescent="0.25">
      <c r="A140">
        <f t="shared" si="8"/>
        <v>128</v>
      </c>
      <c r="B140" s="1" t="s">
        <v>186</v>
      </c>
      <c r="C140">
        <v>400</v>
      </c>
      <c r="D140" t="s">
        <v>34</v>
      </c>
      <c r="E140" s="1">
        <v>140</v>
      </c>
      <c r="F140" s="1">
        <v>2</v>
      </c>
      <c r="G140">
        <v>12167</v>
      </c>
    </row>
    <row r="141" spans="1:8" x14ac:dyDescent="0.25">
      <c r="A141">
        <f t="shared" si="8"/>
        <v>129</v>
      </c>
      <c r="B141" s="1" t="s">
        <v>187</v>
      </c>
      <c r="C141">
        <v>200</v>
      </c>
      <c r="D141" t="s">
        <v>176</v>
      </c>
      <c r="E141" s="1">
        <v>15</v>
      </c>
      <c r="F141" s="1">
        <v>1</v>
      </c>
      <c r="G141">
        <v>12006</v>
      </c>
    </row>
    <row r="142" spans="1:8" x14ac:dyDescent="0.25">
      <c r="A142">
        <f t="shared" si="8"/>
        <v>130</v>
      </c>
      <c r="B142" s="1" t="s">
        <v>188</v>
      </c>
      <c r="C142">
        <v>100</v>
      </c>
      <c r="D142" t="s">
        <v>176</v>
      </c>
      <c r="E142" s="1">
        <v>10</v>
      </c>
      <c r="F142" s="1">
        <v>1</v>
      </c>
      <c r="G142">
        <v>12220</v>
      </c>
    </row>
    <row r="143" spans="1:8" x14ac:dyDescent="0.25">
      <c r="A143">
        <f t="shared" si="8"/>
        <v>131</v>
      </c>
      <c r="B143" s="1" t="s">
        <v>189</v>
      </c>
      <c r="C143">
        <v>200</v>
      </c>
      <c r="D143" t="s">
        <v>179</v>
      </c>
      <c r="E143" s="1">
        <v>30</v>
      </c>
      <c r="F143" s="1">
        <v>0</v>
      </c>
      <c r="G143">
        <v>12120</v>
      </c>
      <c r="H143">
        <v>12122</v>
      </c>
    </row>
    <row r="144" spans="1:8" x14ac:dyDescent="0.25">
      <c r="A144">
        <f t="shared" si="8"/>
        <v>132</v>
      </c>
      <c r="B144" s="1" t="s">
        <v>190</v>
      </c>
      <c r="C144">
        <v>200</v>
      </c>
      <c r="D144" t="s">
        <v>181</v>
      </c>
      <c r="E144" s="1">
        <v>30</v>
      </c>
      <c r="F144" s="1">
        <v>0</v>
      </c>
      <c r="G144">
        <v>12131</v>
      </c>
      <c r="H144">
        <v>12132</v>
      </c>
    </row>
    <row r="145" spans="1:8" x14ac:dyDescent="0.25">
      <c r="A145">
        <f t="shared" si="8"/>
        <v>133</v>
      </c>
      <c r="B145" s="1" t="s">
        <v>191</v>
      </c>
      <c r="C145">
        <v>200</v>
      </c>
      <c r="D145" t="s">
        <v>181</v>
      </c>
      <c r="E145" s="1">
        <v>30</v>
      </c>
      <c r="F145" s="1">
        <v>0</v>
      </c>
      <c r="G145">
        <v>12142</v>
      </c>
      <c r="H145">
        <v>12143</v>
      </c>
    </row>
    <row r="146" spans="1:8" x14ac:dyDescent="0.25">
      <c r="A146">
        <f t="shared" si="8"/>
        <v>134</v>
      </c>
      <c r="B146" s="1" t="s">
        <v>197</v>
      </c>
      <c r="C146">
        <v>100</v>
      </c>
      <c r="D146" t="s">
        <v>176</v>
      </c>
      <c r="E146" s="1">
        <v>15</v>
      </c>
      <c r="F146" s="1">
        <v>1</v>
      </c>
      <c r="G146">
        <v>12147</v>
      </c>
    </row>
    <row r="147" spans="1:8" x14ac:dyDescent="0.25">
      <c r="A147">
        <f t="shared" si="8"/>
        <v>135</v>
      </c>
      <c r="B147" s="1" t="s">
        <v>192</v>
      </c>
      <c r="C147">
        <v>200</v>
      </c>
      <c r="D147" t="s">
        <v>199</v>
      </c>
      <c r="E147" s="1">
        <v>30</v>
      </c>
      <c r="F147" s="1">
        <v>0</v>
      </c>
      <c r="G147">
        <v>12151</v>
      </c>
      <c r="H147">
        <v>12152</v>
      </c>
    </row>
    <row r="148" spans="1:8" x14ac:dyDescent="0.25">
      <c r="A148">
        <f t="shared" si="8"/>
        <v>136</v>
      </c>
      <c r="B148" s="1" t="s">
        <v>198</v>
      </c>
      <c r="C148">
        <v>200</v>
      </c>
      <c r="D148" t="s">
        <v>199</v>
      </c>
      <c r="E148" s="1">
        <v>30</v>
      </c>
      <c r="F148" s="1">
        <v>0</v>
      </c>
      <c r="G148">
        <v>12652</v>
      </c>
    </row>
    <row r="149" spans="1:8" x14ac:dyDescent="0.25">
      <c r="A149">
        <f t="shared" si="8"/>
        <v>137</v>
      </c>
      <c r="B149" s="1" t="s">
        <v>193</v>
      </c>
      <c r="C149">
        <v>100</v>
      </c>
      <c r="D149" t="s">
        <v>34</v>
      </c>
      <c r="E149" s="1">
        <v>64</v>
      </c>
      <c r="F149" s="1">
        <v>2</v>
      </c>
      <c r="H149">
        <v>12163</v>
      </c>
    </row>
    <row r="150" spans="1:8" x14ac:dyDescent="0.25">
      <c r="A150">
        <f t="shared" si="8"/>
        <v>138</v>
      </c>
      <c r="B150" s="1" t="s">
        <v>194</v>
      </c>
      <c r="C150">
        <v>100</v>
      </c>
      <c r="D150" t="s">
        <v>176</v>
      </c>
      <c r="E150" s="1">
        <v>9</v>
      </c>
      <c r="F150" s="1">
        <v>1</v>
      </c>
      <c r="G150">
        <v>12023</v>
      </c>
      <c r="H150">
        <v>12024</v>
      </c>
    </row>
    <row r="151" spans="1:8" x14ac:dyDescent="0.25">
      <c r="A151">
        <f t="shared" si="8"/>
        <v>139</v>
      </c>
      <c r="B151" s="1" t="s">
        <v>195</v>
      </c>
      <c r="C151">
        <v>250</v>
      </c>
      <c r="D151" t="s">
        <v>176</v>
      </c>
      <c r="E151" s="1">
        <v>8</v>
      </c>
      <c r="F151" s="1">
        <v>0</v>
      </c>
      <c r="G151">
        <v>12036</v>
      </c>
      <c r="H151">
        <v>12037</v>
      </c>
    </row>
    <row r="152" spans="1:8" x14ac:dyDescent="0.25">
      <c r="A152">
        <f t="shared" si="8"/>
        <v>140</v>
      </c>
      <c r="B152" s="1" t="s">
        <v>196</v>
      </c>
      <c r="C152">
        <v>200</v>
      </c>
      <c r="D152" t="s">
        <v>200</v>
      </c>
      <c r="E152" s="1">
        <v>30</v>
      </c>
      <c r="F152" s="1">
        <v>0</v>
      </c>
      <c r="G152">
        <v>12155</v>
      </c>
    </row>
    <row r="154" spans="1:8" x14ac:dyDescent="0.25">
      <c r="A154" s="1" t="s">
        <v>52</v>
      </c>
      <c r="B154" s="1"/>
      <c r="C154" s="1"/>
      <c r="D154" s="1"/>
      <c r="E154" s="1"/>
      <c r="F154" s="1"/>
      <c r="G154" s="1"/>
      <c r="H154" s="1"/>
    </row>
    <row r="155" spans="1:8" x14ac:dyDescent="0.25">
      <c r="A155">
        <f>1+A152</f>
        <v>141</v>
      </c>
      <c r="B155" s="1" t="s">
        <v>201</v>
      </c>
      <c r="C155" s="1">
        <v>800</v>
      </c>
      <c r="D155" s="1" t="s">
        <v>203</v>
      </c>
      <c r="E155" s="1">
        <v>14</v>
      </c>
      <c r="F155" s="1">
        <v>1</v>
      </c>
      <c r="G155">
        <v>4506</v>
      </c>
    </row>
    <row r="156" spans="1:8" x14ac:dyDescent="0.25">
      <c r="A156">
        <f>1+A155</f>
        <v>142</v>
      </c>
      <c r="B156" s="1" t="s">
        <v>202</v>
      </c>
      <c r="C156" s="1">
        <v>900</v>
      </c>
      <c r="D156" s="1" t="s">
        <v>204</v>
      </c>
      <c r="E156" s="1">
        <v>14</v>
      </c>
      <c r="F156" s="1">
        <v>1</v>
      </c>
      <c r="G156">
        <v>4053</v>
      </c>
    </row>
    <row r="157" spans="1:8" x14ac:dyDescent="0.25">
      <c r="A157">
        <f>1+A156</f>
        <v>143</v>
      </c>
      <c r="B157" s="1" t="s">
        <v>205</v>
      </c>
      <c r="C157" s="1">
        <v>280</v>
      </c>
      <c r="D157" s="1" t="s">
        <v>206</v>
      </c>
      <c r="E157" s="1">
        <v>14</v>
      </c>
      <c r="F157" s="1">
        <v>1</v>
      </c>
      <c r="G157">
        <v>4047</v>
      </c>
    </row>
    <row r="158" spans="1:8" x14ac:dyDescent="0.25">
      <c r="H158" s="1"/>
    </row>
    <row r="159" spans="1:8" x14ac:dyDescent="0.25">
      <c r="A159" s="1" t="s">
        <v>236</v>
      </c>
      <c r="B159" s="1"/>
      <c r="C159" s="1"/>
      <c r="D159" s="1"/>
      <c r="E159" s="1"/>
      <c r="F159" s="1"/>
      <c r="G159" s="1"/>
      <c r="H159" s="1"/>
    </row>
    <row r="160" spans="1:8" x14ac:dyDescent="0.25">
      <c r="A160">
        <f>1+A157</f>
        <v>144</v>
      </c>
      <c r="B160" t="s">
        <v>207</v>
      </c>
      <c r="C160" s="1">
        <v>30</v>
      </c>
      <c r="D160" s="1" t="s">
        <v>209</v>
      </c>
      <c r="E160" s="1">
        <v>3</v>
      </c>
      <c r="F160" s="1">
        <v>1</v>
      </c>
      <c r="G160">
        <v>2044</v>
      </c>
    </row>
    <row r="161" spans="1:7" x14ac:dyDescent="0.25">
      <c r="A161">
        <f>1+A160</f>
        <v>145</v>
      </c>
      <c r="B161" t="s">
        <v>208</v>
      </c>
      <c r="C161" s="1">
        <v>15</v>
      </c>
      <c r="D161" s="1" t="s">
        <v>37</v>
      </c>
      <c r="E161" s="1">
        <v>0.7</v>
      </c>
      <c r="F161" s="1">
        <v>1</v>
      </c>
      <c r="G161">
        <v>2003</v>
      </c>
    </row>
    <row r="162" spans="1:7" x14ac:dyDescent="0.25">
      <c r="A162">
        <f t="shared" ref="A162:A185" si="9">1+A161</f>
        <v>146</v>
      </c>
      <c r="B162" t="s">
        <v>210</v>
      </c>
      <c r="C162" s="1">
        <v>40</v>
      </c>
      <c r="D162" s="1" t="s">
        <v>37</v>
      </c>
      <c r="E162" s="1">
        <v>2.6</v>
      </c>
      <c r="F162" s="1">
        <v>1</v>
      </c>
      <c r="G162">
        <v>2010</v>
      </c>
    </row>
    <row r="163" spans="1:7" x14ac:dyDescent="0.25">
      <c r="A163">
        <f t="shared" si="9"/>
        <v>147</v>
      </c>
      <c r="B163" t="s">
        <v>211</v>
      </c>
      <c r="C163" s="1">
        <v>35</v>
      </c>
      <c r="D163" s="1" t="s">
        <v>37</v>
      </c>
      <c r="E163" s="1">
        <v>2.1</v>
      </c>
      <c r="F163" s="1">
        <v>1</v>
      </c>
      <c r="G163">
        <v>2011</v>
      </c>
    </row>
    <row r="164" spans="1:7" x14ac:dyDescent="0.25">
      <c r="A164">
        <f t="shared" si="9"/>
        <v>148</v>
      </c>
      <c r="B164" t="s">
        <v>212</v>
      </c>
      <c r="C164" s="1">
        <v>40</v>
      </c>
      <c r="D164" s="1" t="s">
        <v>37</v>
      </c>
      <c r="E164" s="1">
        <v>2.1</v>
      </c>
      <c r="F164" s="1">
        <v>1</v>
      </c>
      <c r="G164">
        <v>2014</v>
      </c>
    </row>
    <row r="165" spans="1:7" x14ac:dyDescent="0.25">
      <c r="A165">
        <f t="shared" si="9"/>
        <v>149</v>
      </c>
      <c r="B165" t="s">
        <v>213</v>
      </c>
      <c r="C165">
        <v>20</v>
      </c>
      <c r="D165" s="1" t="s">
        <v>215</v>
      </c>
      <c r="E165" s="1">
        <v>1</v>
      </c>
      <c r="F165" s="1">
        <v>1</v>
      </c>
      <c r="G165">
        <v>2045</v>
      </c>
    </row>
    <row r="166" spans="1:7" x14ac:dyDescent="0.25">
      <c r="A166">
        <f t="shared" si="9"/>
        <v>150</v>
      </c>
      <c r="B166" t="s">
        <v>214</v>
      </c>
      <c r="C166">
        <v>13</v>
      </c>
      <c r="D166" s="1" t="s">
        <v>37</v>
      </c>
      <c r="E166" s="1">
        <v>1</v>
      </c>
      <c r="F166">
        <v>0</v>
      </c>
      <c r="G166">
        <v>2017</v>
      </c>
    </row>
    <row r="167" spans="1:7" x14ac:dyDescent="0.25">
      <c r="A167">
        <f t="shared" si="9"/>
        <v>151</v>
      </c>
      <c r="B167" t="s">
        <v>216</v>
      </c>
      <c r="C167">
        <v>12</v>
      </c>
      <c r="D167" s="1" t="s">
        <v>37</v>
      </c>
      <c r="E167" s="1">
        <v>1.8</v>
      </c>
      <c r="F167">
        <v>1</v>
      </c>
      <c r="G167">
        <v>2027</v>
      </c>
    </row>
    <row r="168" spans="1:7" x14ac:dyDescent="0.25">
      <c r="A168">
        <f t="shared" si="9"/>
        <v>152</v>
      </c>
      <c r="B168" t="s">
        <v>217</v>
      </c>
      <c r="C168">
        <v>30</v>
      </c>
      <c r="D168" s="1" t="s">
        <v>176</v>
      </c>
      <c r="E168" s="1">
        <v>3.8</v>
      </c>
      <c r="F168">
        <v>1</v>
      </c>
      <c r="G168">
        <v>11297</v>
      </c>
    </row>
    <row r="169" spans="1:7" x14ac:dyDescent="0.25">
      <c r="A169">
        <f t="shared" si="9"/>
        <v>153</v>
      </c>
      <c r="B169" t="s">
        <v>218</v>
      </c>
      <c r="C169">
        <v>6</v>
      </c>
      <c r="D169" s="1" t="s">
        <v>176</v>
      </c>
      <c r="E169" s="1">
        <v>1.6</v>
      </c>
      <c r="F169">
        <v>1</v>
      </c>
      <c r="G169">
        <v>2029</v>
      </c>
    </row>
    <row r="170" spans="1:7" x14ac:dyDescent="0.25">
      <c r="A170">
        <f t="shared" si="9"/>
        <v>154</v>
      </c>
      <c r="B170" t="s">
        <v>219</v>
      </c>
      <c r="C170">
        <v>10</v>
      </c>
      <c r="D170" s="1" t="s">
        <v>209</v>
      </c>
      <c r="E170" s="1">
        <v>1.6</v>
      </c>
      <c r="F170">
        <v>1</v>
      </c>
      <c r="G170">
        <v>2064</v>
      </c>
    </row>
    <row r="171" spans="1:7" x14ac:dyDescent="0.25">
      <c r="A171">
        <f t="shared" si="9"/>
        <v>155</v>
      </c>
      <c r="B171" t="s">
        <v>220</v>
      </c>
      <c r="C171">
        <v>20</v>
      </c>
      <c r="D171" s="1" t="s">
        <v>176</v>
      </c>
      <c r="E171" s="1">
        <v>1.7</v>
      </c>
      <c r="F171">
        <v>1</v>
      </c>
      <c r="G171">
        <v>2063</v>
      </c>
    </row>
    <row r="172" spans="1:7" x14ac:dyDescent="0.25">
      <c r="A172">
        <f t="shared" si="9"/>
        <v>156</v>
      </c>
      <c r="B172" t="s">
        <v>221</v>
      </c>
      <c r="C172">
        <v>20</v>
      </c>
      <c r="D172" s="1" t="s">
        <v>176</v>
      </c>
      <c r="E172" s="1">
        <v>3.3</v>
      </c>
      <c r="F172">
        <v>1</v>
      </c>
      <c r="G172">
        <v>2036</v>
      </c>
    </row>
    <row r="173" spans="1:7" x14ac:dyDescent="0.25">
      <c r="A173">
        <f t="shared" si="9"/>
        <v>157</v>
      </c>
      <c r="B173" t="s">
        <v>222</v>
      </c>
      <c r="C173">
        <v>1</v>
      </c>
      <c r="D173" s="1" t="s">
        <v>37</v>
      </c>
      <c r="E173" s="1">
        <v>0.7</v>
      </c>
      <c r="F173">
        <v>1</v>
      </c>
      <c r="G173">
        <v>2037</v>
      </c>
    </row>
    <row r="174" spans="1:7" x14ac:dyDescent="0.25">
      <c r="A174">
        <f t="shared" si="9"/>
        <v>158</v>
      </c>
      <c r="B174" t="s">
        <v>223</v>
      </c>
      <c r="C174">
        <v>15</v>
      </c>
      <c r="D174" s="1" t="s">
        <v>37</v>
      </c>
      <c r="E174" s="1">
        <v>0.7</v>
      </c>
      <c r="F174">
        <v>1</v>
      </c>
      <c r="G174">
        <v>2038</v>
      </c>
    </row>
    <row r="175" spans="1:7" x14ac:dyDescent="0.25">
      <c r="A175">
        <f t="shared" si="9"/>
        <v>159</v>
      </c>
      <c r="B175" t="s">
        <v>224</v>
      </c>
      <c r="C175">
        <v>150</v>
      </c>
      <c r="D175" s="1" t="s">
        <v>176</v>
      </c>
      <c r="E175" s="1">
        <v>18</v>
      </c>
      <c r="F175">
        <v>1</v>
      </c>
      <c r="G175">
        <v>16124</v>
      </c>
    </row>
    <row r="176" spans="1:7" x14ac:dyDescent="0.25">
      <c r="A176">
        <f t="shared" si="9"/>
        <v>160</v>
      </c>
      <c r="B176" t="s">
        <v>225</v>
      </c>
      <c r="D176" s="1" t="s">
        <v>37</v>
      </c>
      <c r="E176" s="1">
        <v>1</v>
      </c>
      <c r="F176">
        <v>1</v>
      </c>
      <c r="G176">
        <v>2042</v>
      </c>
    </row>
    <row r="177" spans="1:8" x14ac:dyDescent="0.25">
      <c r="A177">
        <f t="shared" si="9"/>
        <v>161</v>
      </c>
      <c r="B177" t="s">
        <v>226</v>
      </c>
      <c r="D177" s="1" t="s">
        <v>37</v>
      </c>
      <c r="E177" s="1">
        <v>0.8</v>
      </c>
      <c r="F177">
        <v>1</v>
      </c>
      <c r="G177">
        <v>2049</v>
      </c>
    </row>
    <row r="178" spans="1:8" x14ac:dyDescent="0.25">
      <c r="A178">
        <f t="shared" si="9"/>
        <v>162</v>
      </c>
      <c r="B178" t="s">
        <v>227</v>
      </c>
      <c r="D178" s="1" t="s">
        <v>37</v>
      </c>
      <c r="E178" s="1">
        <v>3</v>
      </c>
      <c r="F178">
        <v>1</v>
      </c>
      <c r="G178">
        <v>2043</v>
      </c>
    </row>
    <row r="179" spans="1:8" x14ac:dyDescent="0.25">
      <c r="A179">
        <f t="shared" si="9"/>
        <v>163</v>
      </c>
      <c r="B179" t="s">
        <v>228</v>
      </c>
      <c r="D179" s="1" t="s">
        <v>176</v>
      </c>
      <c r="E179" s="1">
        <v>6.3</v>
      </c>
      <c r="F179">
        <v>1</v>
      </c>
      <c r="G179">
        <v>2015</v>
      </c>
    </row>
    <row r="180" spans="1:8" x14ac:dyDescent="0.25">
      <c r="A180">
        <f t="shared" si="9"/>
        <v>164</v>
      </c>
      <c r="B180" t="s">
        <v>229</v>
      </c>
      <c r="D180" s="1" t="s">
        <v>37</v>
      </c>
      <c r="E180" s="1">
        <v>1.8</v>
      </c>
      <c r="F180">
        <v>1</v>
      </c>
      <c r="G180">
        <v>2021</v>
      </c>
    </row>
    <row r="181" spans="1:8" x14ac:dyDescent="0.25">
      <c r="A181">
        <f t="shared" si="9"/>
        <v>165</v>
      </c>
      <c r="B181" t="s">
        <v>230</v>
      </c>
      <c r="D181" s="1" t="s">
        <v>37</v>
      </c>
      <c r="E181" s="1">
        <v>2.2999999999999998</v>
      </c>
      <c r="F181">
        <v>1</v>
      </c>
      <c r="G181">
        <v>2028</v>
      </c>
    </row>
    <row r="182" spans="1:8" x14ac:dyDescent="0.25">
      <c r="A182">
        <f t="shared" si="9"/>
        <v>166</v>
      </c>
      <c r="B182" t="s">
        <v>231</v>
      </c>
      <c r="D182" s="1" t="s">
        <v>37</v>
      </c>
      <c r="E182" s="1">
        <v>2.2999999999999998</v>
      </c>
      <c r="F182">
        <v>1</v>
      </c>
      <c r="G182">
        <v>2030</v>
      </c>
    </row>
    <row r="183" spans="1:8" x14ac:dyDescent="0.25">
      <c r="A183">
        <f t="shared" si="9"/>
        <v>167</v>
      </c>
      <c r="B183" t="s">
        <v>232</v>
      </c>
      <c r="D183" s="1" t="s">
        <v>37</v>
      </c>
      <c r="E183" s="1">
        <v>1.8</v>
      </c>
      <c r="F183">
        <v>1</v>
      </c>
      <c r="G183">
        <v>2031</v>
      </c>
    </row>
    <row r="184" spans="1:8" x14ac:dyDescent="0.25">
      <c r="A184">
        <f t="shared" si="9"/>
        <v>168</v>
      </c>
      <c r="B184" t="s">
        <v>233</v>
      </c>
      <c r="D184" s="1" t="s">
        <v>37</v>
      </c>
      <c r="E184" s="1">
        <v>1.4</v>
      </c>
      <c r="F184">
        <v>1</v>
      </c>
      <c r="G184">
        <v>2039</v>
      </c>
    </row>
    <row r="185" spans="1:8" x14ac:dyDescent="0.25">
      <c r="A185">
        <f t="shared" si="9"/>
        <v>169</v>
      </c>
      <c r="B185" t="s">
        <v>235</v>
      </c>
      <c r="D185" s="1" t="s">
        <v>37</v>
      </c>
      <c r="E185" s="1">
        <v>6</v>
      </c>
      <c r="F185">
        <v>1</v>
      </c>
      <c r="G185">
        <v>2047</v>
      </c>
    </row>
    <row r="186" spans="1:8" x14ac:dyDescent="0.25">
      <c r="F186" s="1"/>
      <c r="G186" s="1"/>
      <c r="H186" s="1"/>
    </row>
    <row r="187" spans="1:8" x14ac:dyDescent="0.25">
      <c r="A187" s="1" t="s">
        <v>237</v>
      </c>
      <c r="B187" s="1"/>
      <c r="C187" s="1"/>
      <c r="D187" s="1"/>
      <c r="E187" s="1"/>
      <c r="F187" s="1"/>
      <c r="G187" s="1"/>
    </row>
    <row r="188" spans="1:8" x14ac:dyDescent="0.25">
      <c r="A188">
        <f>1+A185</f>
        <v>170</v>
      </c>
      <c r="B188" t="s">
        <v>234</v>
      </c>
      <c r="D188" s="1" t="s">
        <v>37</v>
      </c>
      <c r="E188" s="1">
        <v>5</v>
      </c>
      <c r="F188">
        <v>1</v>
      </c>
      <c r="G188">
        <v>2046</v>
      </c>
    </row>
    <row r="189" spans="1:8" x14ac:dyDescent="0.25">
      <c r="A189">
        <f>1+A188</f>
        <v>171</v>
      </c>
      <c r="B189" t="s">
        <v>238</v>
      </c>
      <c r="D189" s="1" t="s">
        <v>176</v>
      </c>
      <c r="E189" s="1">
        <v>15</v>
      </c>
      <c r="F189">
        <v>1</v>
      </c>
      <c r="G189">
        <v>2048</v>
      </c>
    </row>
    <row r="190" spans="1:8" x14ac:dyDescent="0.25">
      <c r="A190">
        <f t="shared" ref="A190:A195" si="10">1+A189</f>
        <v>172</v>
      </c>
      <c r="B190" t="s">
        <v>239</v>
      </c>
      <c r="D190" s="1" t="s">
        <v>176</v>
      </c>
      <c r="E190" s="1">
        <v>16</v>
      </c>
      <c r="F190">
        <v>1</v>
      </c>
      <c r="G190">
        <v>2069</v>
      </c>
    </row>
    <row r="191" spans="1:8" x14ac:dyDescent="0.25">
      <c r="A191">
        <f t="shared" si="10"/>
        <v>173</v>
      </c>
      <c r="B191" t="s">
        <v>240</v>
      </c>
      <c r="D191" s="1" t="s">
        <v>176</v>
      </c>
      <c r="E191" s="1">
        <v>15</v>
      </c>
      <c r="F191">
        <v>1</v>
      </c>
      <c r="G191">
        <v>2068</v>
      </c>
    </row>
    <row r="192" spans="1:8" x14ac:dyDescent="0.25">
      <c r="A192">
        <f t="shared" si="10"/>
        <v>174</v>
      </c>
      <c r="B192" t="s">
        <v>241</v>
      </c>
      <c r="D192" s="1" t="s">
        <v>176</v>
      </c>
      <c r="E192" s="1">
        <v>18</v>
      </c>
      <c r="F192">
        <v>1</v>
      </c>
      <c r="G192">
        <v>6112</v>
      </c>
    </row>
    <row r="193" spans="1:8" x14ac:dyDescent="0.25">
      <c r="A193">
        <f t="shared" si="10"/>
        <v>175</v>
      </c>
      <c r="B193" t="s">
        <v>242</v>
      </c>
      <c r="D193" s="1" t="s">
        <v>176</v>
      </c>
      <c r="E193" s="1">
        <v>17</v>
      </c>
      <c r="F193">
        <v>1</v>
      </c>
      <c r="G193">
        <v>6150</v>
      </c>
    </row>
    <row r="194" spans="1:8" x14ac:dyDescent="0.25">
      <c r="A194">
        <f t="shared" si="10"/>
        <v>176</v>
      </c>
      <c r="B194" t="s">
        <v>243</v>
      </c>
      <c r="D194" s="1" t="s">
        <v>176</v>
      </c>
      <c r="E194" s="1">
        <v>14</v>
      </c>
      <c r="F194">
        <v>1</v>
      </c>
      <c r="G194">
        <v>4025</v>
      </c>
    </row>
    <row r="195" spans="1:8" x14ac:dyDescent="0.25">
      <c r="A195">
        <f t="shared" si="10"/>
        <v>177</v>
      </c>
      <c r="B195" t="s">
        <v>244</v>
      </c>
      <c r="D195" s="1" t="s">
        <v>176</v>
      </c>
      <c r="E195" s="1">
        <v>15</v>
      </c>
      <c r="F195">
        <v>1</v>
      </c>
      <c r="G195">
        <v>4011</v>
      </c>
    </row>
    <row r="196" spans="1:8" x14ac:dyDescent="0.25">
      <c r="F196" s="1"/>
      <c r="G196" s="1"/>
      <c r="H196" s="1"/>
    </row>
    <row r="197" spans="1:8" x14ac:dyDescent="0.25">
      <c r="A197" s="1" t="s">
        <v>24</v>
      </c>
      <c r="B197" s="1"/>
      <c r="C197" s="1"/>
      <c r="D197" s="1"/>
      <c r="E197" s="1"/>
      <c r="F197" s="1"/>
      <c r="G197" s="1"/>
    </row>
    <row r="198" spans="1:8" x14ac:dyDescent="0.25">
      <c r="A198">
        <f>1+A195</f>
        <v>178</v>
      </c>
      <c r="B198" s="1" t="s">
        <v>245</v>
      </c>
      <c r="D198" s="1" t="s">
        <v>34</v>
      </c>
      <c r="E198" s="1">
        <v>164</v>
      </c>
      <c r="F198" s="1">
        <v>2</v>
      </c>
      <c r="G198">
        <v>16056</v>
      </c>
      <c r="H198">
        <v>16057</v>
      </c>
    </row>
    <row r="199" spans="1:8" x14ac:dyDescent="0.25">
      <c r="A199">
        <f>1+A198</f>
        <v>179</v>
      </c>
      <c r="B199" s="1" t="s">
        <v>246</v>
      </c>
      <c r="D199" s="1" t="s">
        <v>34</v>
      </c>
      <c r="E199" s="1">
        <v>177</v>
      </c>
      <c r="F199" s="1">
        <v>2</v>
      </c>
      <c r="H199">
        <v>16028</v>
      </c>
    </row>
    <row r="200" spans="1:8" x14ac:dyDescent="0.25">
      <c r="A200">
        <f t="shared" ref="A200:A212" si="11">1+A199</f>
        <v>180</v>
      </c>
      <c r="B200" s="1" t="s">
        <v>247</v>
      </c>
      <c r="D200" s="1" t="s">
        <v>34</v>
      </c>
      <c r="E200" s="1">
        <v>177</v>
      </c>
      <c r="F200" s="1">
        <v>2</v>
      </c>
      <c r="H200">
        <v>16033</v>
      </c>
    </row>
    <row r="201" spans="1:8" x14ac:dyDescent="0.25">
      <c r="A201">
        <f t="shared" si="11"/>
        <v>181</v>
      </c>
      <c r="B201" s="1" t="s">
        <v>248</v>
      </c>
      <c r="D201" s="1" t="s">
        <v>34</v>
      </c>
      <c r="E201" s="1">
        <v>182</v>
      </c>
      <c r="F201" s="1">
        <v>2</v>
      </c>
      <c r="G201">
        <v>16037</v>
      </c>
      <c r="H201">
        <v>16038</v>
      </c>
    </row>
    <row r="202" spans="1:8" x14ac:dyDescent="0.25">
      <c r="A202">
        <f t="shared" si="11"/>
        <v>182</v>
      </c>
      <c r="B202" s="1" t="s">
        <v>249</v>
      </c>
      <c r="D202" s="1" t="s">
        <v>34</v>
      </c>
      <c r="E202" s="1">
        <v>172</v>
      </c>
      <c r="F202" s="1">
        <v>2</v>
      </c>
      <c r="H202">
        <v>16015</v>
      </c>
    </row>
    <row r="203" spans="1:8" x14ac:dyDescent="0.25">
      <c r="A203">
        <f t="shared" si="11"/>
        <v>183</v>
      </c>
      <c r="B203" s="1" t="s">
        <v>253</v>
      </c>
      <c r="D203" s="1" t="s">
        <v>34</v>
      </c>
      <c r="E203" s="1">
        <v>179</v>
      </c>
      <c r="F203" s="1">
        <v>2</v>
      </c>
      <c r="H203">
        <v>16050</v>
      </c>
    </row>
    <row r="204" spans="1:8" x14ac:dyDescent="0.25">
      <c r="A204">
        <f t="shared" si="11"/>
        <v>184</v>
      </c>
      <c r="B204" s="1" t="s">
        <v>250</v>
      </c>
      <c r="D204" s="1" t="s">
        <v>34</v>
      </c>
      <c r="E204" s="1">
        <v>193</v>
      </c>
      <c r="F204" s="1">
        <v>2</v>
      </c>
      <c r="H204">
        <v>16043</v>
      </c>
    </row>
    <row r="205" spans="1:8" s="2" customFormat="1" x14ac:dyDescent="0.25">
      <c r="A205">
        <f t="shared" si="11"/>
        <v>185</v>
      </c>
      <c r="B205" s="4" t="s">
        <v>258</v>
      </c>
      <c r="D205" s="4" t="s">
        <v>34</v>
      </c>
      <c r="E205" s="4">
        <v>180</v>
      </c>
      <c r="F205" s="4">
        <v>2</v>
      </c>
      <c r="G205" s="2">
        <v>16022</v>
      </c>
      <c r="H205" s="2">
        <v>16023</v>
      </c>
    </row>
    <row r="206" spans="1:8" x14ac:dyDescent="0.25">
      <c r="A206">
        <f t="shared" si="11"/>
        <v>186</v>
      </c>
      <c r="B206" s="1" t="s">
        <v>251</v>
      </c>
      <c r="D206" s="1" t="s">
        <v>34</v>
      </c>
      <c r="E206" s="1">
        <v>192</v>
      </c>
      <c r="F206" s="1">
        <v>2</v>
      </c>
      <c r="H206">
        <v>16070</v>
      </c>
    </row>
    <row r="207" spans="1:8" x14ac:dyDescent="0.25">
      <c r="A207">
        <f t="shared" si="11"/>
        <v>187</v>
      </c>
      <c r="B207" t="s">
        <v>144</v>
      </c>
      <c r="D207" s="1" t="s">
        <v>34</v>
      </c>
      <c r="E207">
        <v>160</v>
      </c>
      <c r="F207">
        <v>0</v>
      </c>
      <c r="G207">
        <v>11312</v>
      </c>
      <c r="H207">
        <v>11313</v>
      </c>
    </row>
    <row r="208" spans="1:8" s="2" customFormat="1" x14ac:dyDescent="0.25">
      <c r="A208">
        <f t="shared" si="11"/>
        <v>188</v>
      </c>
      <c r="B208" s="3" t="s">
        <v>252</v>
      </c>
      <c r="D208" s="3" t="s">
        <v>34</v>
      </c>
      <c r="E208" s="3">
        <v>150</v>
      </c>
      <c r="F208" s="3">
        <v>2</v>
      </c>
      <c r="G208" s="2">
        <v>11304</v>
      </c>
      <c r="H208" s="2">
        <v>11305</v>
      </c>
    </row>
    <row r="209" spans="1:8" s="2" customFormat="1" x14ac:dyDescent="0.25">
      <c r="A209">
        <f t="shared" si="11"/>
        <v>189</v>
      </c>
      <c r="B209" s="4" t="s">
        <v>254</v>
      </c>
      <c r="D209" s="4" t="s">
        <v>34</v>
      </c>
      <c r="E209" s="4">
        <v>146</v>
      </c>
      <c r="F209" s="4">
        <v>2</v>
      </c>
      <c r="G209" s="2">
        <v>16087</v>
      </c>
      <c r="H209" s="2">
        <v>16390</v>
      </c>
    </row>
    <row r="210" spans="1:8" s="2" customFormat="1" x14ac:dyDescent="0.25">
      <c r="A210">
        <f t="shared" si="11"/>
        <v>190</v>
      </c>
      <c r="B210" s="4" t="s">
        <v>255</v>
      </c>
      <c r="D210" s="4" t="s">
        <v>34</v>
      </c>
      <c r="E210" s="4">
        <v>145</v>
      </c>
      <c r="F210" s="4">
        <v>2</v>
      </c>
      <c r="G210" s="2">
        <v>16090</v>
      </c>
    </row>
    <row r="211" spans="1:8" s="2" customFormat="1" x14ac:dyDescent="0.25">
      <c r="A211">
        <f t="shared" si="11"/>
        <v>191</v>
      </c>
      <c r="B211" s="4" t="s">
        <v>256</v>
      </c>
      <c r="D211" s="4" t="s">
        <v>176</v>
      </c>
      <c r="E211" s="4">
        <v>16</v>
      </c>
      <c r="F211" s="4">
        <v>1</v>
      </c>
      <c r="G211" s="2">
        <v>16398</v>
      </c>
    </row>
    <row r="212" spans="1:8" s="2" customFormat="1" x14ac:dyDescent="0.25">
      <c r="A212">
        <f t="shared" si="11"/>
        <v>192</v>
      </c>
      <c r="B212" s="4" t="s">
        <v>257</v>
      </c>
      <c r="D212" s="4" t="s">
        <v>176</v>
      </c>
      <c r="E212" s="4">
        <v>16</v>
      </c>
      <c r="F212" s="4">
        <v>1</v>
      </c>
      <c r="G212" s="2">
        <v>16397</v>
      </c>
    </row>
    <row r="213" spans="1:8" x14ac:dyDescent="0.25">
      <c r="F213" s="1"/>
      <c r="G213" s="1"/>
      <c r="H213" s="1"/>
    </row>
    <row r="214" spans="1:8" x14ac:dyDescent="0.25">
      <c r="A214" s="1" t="s">
        <v>25</v>
      </c>
      <c r="B214" s="1"/>
      <c r="C214" s="1"/>
      <c r="D214" s="1"/>
      <c r="E214" s="1"/>
    </row>
    <row r="215" spans="1:8" x14ac:dyDescent="0.25">
      <c r="A215">
        <f>1+A212</f>
        <v>193</v>
      </c>
      <c r="B215" s="1" t="s">
        <v>260</v>
      </c>
      <c r="D215" s="1" t="s">
        <v>259</v>
      </c>
      <c r="E215" s="1">
        <v>156</v>
      </c>
      <c r="F215">
        <v>2</v>
      </c>
      <c r="G215">
        <v>11260</v>
      </c>
      <c r="H215">
        <v>11261</v>
      </c>
    </row>
    <row r="216" spans="1:8" x14ac:dyDescent="0.25">
      <c r="A216">
        <f>1+A215</f>
        <v>194</v>
      </c>
      <c r="B216" s="1" t="s">
        <v>262</v>
      </c>
      <c r="D216" s="1" t="s">
        <v>261</v>
      </c>
      <c r="E216" s="1">
        <v>50</v>
      </c>
      <c r="F216">
        <v>0</v>
      </c>
      <c r="G216">
        <v>11265</v>
      </c>
      <c r="H216">
        <v>11243</v>
      </c>
    </row>
    <row r="217" spans="1:8" x14ac:dyDescent="0.25">
      <c r="A217">
        <f>1+A216</f>
        <v>195</v>
      </c>
      <c r="B217" s="1" t="s">
        <v>263</v>
      </c>
      <c r="D217" s="1" t="s">
        <v>264</v>
      </c>
      <c r="E217" s="1">
        <v>18</v>
      </c>
      <c r="F217">
        <v>0</v>
      </c>
      <c r="G217">
        <v>11238</v>
      </c>
      <c r="H217">
        <v>11269</v>
      </c>
    </row>
    <row r="219" spans="1:8" x14ac:dyDescent="0.25">
      <c r="A219" s="1" t="s">
        <v>26</v>
      </c>
      <c r="B219" s="1"/>
      <c r="C219" s="1"/>
      <c r="D219" s="1"/>
      <c r="E219" s="1"/>
      <c r="F219" s="1"/>
      <c r="G219" s="1"/>
      <c r="H219" s="1"/>
    </row>
    <row r="220" spans="1:8" x14ac:dyDescent="0.25">
      <c r="A220">
        <f>1+A217</f>
        <v>196</v>
      </c>
      <c r="B220" s="1" t="s">
        <v>265</v>
      </c>
      <c r="C220">
        <v>180</v>
      </c>
      <c r="D220" s="1" t="s">
        <v>266</v>
      </c>
      <c r="E220" s="1">
        <v>90</v>
      </c>
      <c r="F220" s="1">
        <v>0</v>
      </c>
      <c r="H220">
        <v>23568</v>
      </c>
    </row>
    <row r="221" spans="1:8" x14ac:dyDescent="0.25">
      <c r="A221">
        <f>1+A220</f>
        <v>197</v>
      </c>
      <c r="B221" s="1" t="s">
        <v>267</v>
      </c>
      <c r="C221">
        <v>500</v>
      </c>
      <c r="D221" s="1" t="s">
        <v>21</v>
      </c>
      <c r="E221" s="1">
        <v>500</v>
      </c>
      <c r="F221" s="1">
        <v>0</v>
      </c>
      <c r="H221">
        <v>10976</v>
      </c>
    </row>
    <row r="222" spans="1:8" x14ac:dyDescent="0.25">
      <c r="A222">
        <f t="shared" ref="A222:A224" si="12">1+A221</f>
        <v>198</v>
      </c>
      <c r="B222" s="1" t="s">
        <v>268</v>
      </c>
      <c r="C222">
        <v>400</v>
      </c>
      <c r="D222" s="1" t="s">
        <v>21</v>
      </c>
      <c r="E222" s="1">
        <v>400</v>
      </c>
      <c r="F222" s="1">
        <v>0</v>
      </c>
      <c r="H222">
        <v>10975</v>
      </c>
    </row>
    <row r="223" spans="1:8" x14ac:dyDescent="0.25">
      <c r="A223">
        <f t="shared" si="12"/>
        <v>199</v>
      </c>
      <c r="B223" s="1" t="s">
        <v>269</v>
      </c>
      <c r="C223">
        <v>240</v>
      </c>
      <c r="D223" s="1" t="s">
        <v>270</v>
      </c>
      <c r="E223" s="1">
        <v>120</v>
      </c>
      <c r="F223" s="1">
        <v>0</v>
      </c>
      <c r="H223">
        <v>10064</v>
      </c>
    </row>
    <row r="224" spans="1:8" x14ac:dyDescent="0.25">
      <c r="A224">
        <f t="shared" si="12"/>
        <v>200</v>
      </c>
      <c r="B224" s="1" t="s">
        <v>271</v>
      </c>
      <c r="C224">
        <v>460</v>
      </c>
      <c r="D224" s="1" t="s">
        <v>272</v>
      </c>
      <c r="E224" s="1">
        <v>115</v>
      </c>
      <c r="F224" s="1">
        <v>0</v>
      </c>
      <c r="H224">
        <v>10082</v>
      </c>
    </row>
    <row r="226" spans="1:8" x14ac:dyDescent="0.25">
      <c r="A226" s="1" t="s">
        <v>27</v>
      </c>
      <c r="B226" s="1"/>
      <c r="C226" s="1"/>
      <c r="D226" s="1"/>
      <c r="E226" s="1"/>
      <c r="F226" s="1"/>
      <c r="G226" s="1"/>
      <c r="H226" s="1"/>
    </row>
    <row r="227" spans="1:8" x14ac:dyDescent="0.25">
      <c r="A227">
        <f>1+A224</f>
        <v>201</v>
      </c>
      <c r="B227" s="1" t="s">
        <v>273</v>
      </c>
      <c r="C227" s="1">
        <v>240</v>
      </c>
      <c r="D227" s="1" t="s">
        <v>274</v>
      </c>
      <c r="E227" s="1">
        <v>120</v>
      </c>
      <c r="F227" s="1">
        <v>0</v>
      </c>
      <c r="H227">
        <v>5063</v>
      </c>
    </row>
    <row r="228" spans="1:8" x14ac:dyDescent="0.25">
      <c r="A228">
        <f>1+A227</f>
        <v>202</v>
      </c>
      <c r="B228" s="1" t="s">
        <v>275</v>
      </c>
      <c r="C228" s="1">
        <v>240</v>
      </c>
      <c r="D228" s="1" t="s">
        <v>274</v>
      </c>
      <c r="E228" s="1">
        <v>120</v>
      </c>
      <c r="F228" s="1">
        <v>0</v>
      </c>
      <c r="H228">
        <v>5098</v>
      </c>
    </row>
    <row r="229" spans="1:8" x14ac:dyDescent="0.25">
      <c r="A229">
        <f t="shared" ref="A229:A230" si="13">1+A228</f>
        <v>203</v>
      </c>
      <c r="B229" s="1" t="s">
        <v>276</v>
      </c>
      <c r="C229" s="1">
        <v>900</v>
      </c>
      <c r="D229" s="1" t="s">
        <v>277</v>
      </c>
      <c r="E229" s="1">
        <v>100</v>
      </c>
      <c r="F229" s="1">
        <v>0</v>
      </c>
      <c r="H229">
        <v>5069</v>
      </c>
    </row>
    <row r="230" spans="1:8" x14ac:dyDescent="0.25">
      <c r="A230">
        <f t="shared" si="13"/>
        <v>204</v>
      </c>
      <c r="B230" s="1" t="s">
        <v>278</v>
      </c>
      <c r="C230" s="1">
        <v>850</v>
      </c>
      <c r="D230" s="1" t="s">
        <v>279</v>
      </c>
      <c r="E230" s="1">
        <v>85</v>
      </c>
      <c r="F230" s="1">
        <v>0</v>
      </c>
      <c r="H230">
        <v>5103</v>
      </c>
    </row>
    <row r="232" spans="1:8" x14ac:dyDescent="0.25">
      <c r="A232" s="1" t="s">
        <v>28</v>
      </c>
      <c r="B232" s="1"/>
      <c r="C232" s="1"/>
      <c r="D232" s="1"/>
      <c r="E232" s="1"/>
      <c r="F232" s="1"/>
      <c r="G232" s="1"/>
    </row>
    <row r="233" spans="1:8" x14ac:dyDescent="0.25">
      <c r="A233">
        <f>1+A230</f>
        <v>205</v>
      </c>
      <c r="B233" s="1" t="s">
        <v>282</v>
      </c>
      <c r="C233" s="1">
        <v>210</v>
      </c>
      <c r="D233" s="1" t="s">
        <v>280</v>
      </c>
      <c r="E233" s="1">
        <v>105</v>
      </c>
      <c r="F233" s="1">
        <v>0</v>
      </c>
      <c r="G233">
        <v>15236</v>
      </c>
      <c r="H233">
        <v>15237</v>
      </c>
    </row>
    <row r="234" spans="1:8" x14ac:dyDescent="0.25">
      <c r="A234">
        <f>1+A233</f>
        <v>206</v>
      </c>
      <c r="B234" s="1" t="s">
        <v>281</v>
      </c>
      <c r="C234" s="1">
        <v>270</v>
      </c>
      <c r="D234" s="1" t="s">
        <v>283</v>
      </c>
      <c r="E234" s="1">
        <v>270</v>
      </c>
      <c r="F234" s="1">
        <v>0</v>
      </c>
      <c r="G234">
        <v>15046</v>
      </c>
      <c r="H234">
        <v>15047</v>
      </c>
    </row>
    <row r="235" spans="1:8" x14ac:dyDescent="0.25">
      <c r="A235">
        <f t="shared" ref="A235:A236" si="14">1+A234</f>
        <v>207</v>
      </c>
      <c r="B235" s="1" t="s">
        <v>285</v>
      </c>
      <c r="C235" s="1">
        <v>120</v>
      </c>
      <c r="D235" s="1" t="s">
        <v>284</v>
      </c>
      <c r="E235" s="1">
        <v>120</v>
      </c>
      <c r="F235" s="1">
        <v>0</v>
      </c>
      <c r="G235">
        <v>15121</v>
      </c>
    </row>
    <row r="236" spans="1:8" x14ac:dyDescent="0.25">
      <c r="A236">
        <f t="shared" si="14"/>
        <v>208</v>
      </c>
      <c r="B236" s="1" t="s">
        <v>286</v>
      </c>
      <c r="C236" s="1">
        <v>180</v>
      </c>
      <c r="D236" s="1" t="s">
        <v>287</v>
      </c>
      <c r="E236" s="1">
        <v>180</v>
      </c>
      <c r="F236" s="1">
        <v>0</v>
      </c>
      <c r="G236">
        <v>15016</v>
      </c>
    </row>
    <row r="238" spans="1:8" x14ac:dyDescent="0.25">
      <c r="A238" s="1" t="s">
        <v>29</v>
      </c>
      <c r="B238" s="1"/>
      <c r="C238" s="1"/>
      <c r="D238" s="1"/>
      <c r="E238" s="1"/>
    </row>
    <row r="239" spans="1:8" x14ac:dyDescent="0.25">
      <c r="A239">
        <f>1+A236</f>
        <v>209</v>
      </c>
    </row>
    <row r="240" spans="1:8" x14ac:dyDescent="0.25">
      <c r="A240">
        <f>1+A239</f>
        <v>210</v>
      </c>
    </row>
    <row r="242" spans="1:7" x14ac:dyDescent="0.25">
      <c r="A242" t="s">
        <v>290</v>
      </c>
    </row>
    <row r="243" spans="1:7" x14ac:dyDescent="0.25">
      <c r="A243">
        <f>1+A240</f>
        <v>211</v>
      </c>
      <c r="B243" t="s">
        <v>291</v>
      </c>
      <c r="C243">
        <v>500</v>
      </c>
      <c r="D243" t="s">
        <v>176</v>
      </c>
      <c r="E243">
        <v>20</v>
      </c>
      <c r="F243">
        <v>1</v>
      </c>
      <c r="G243">
        <v>19296</v>
      </c>
    </row>
    <row r="244" spans="1:7" x14ac:dyDescent="0.25">
      <c r="A244">
        <f>1+A243</f>
        <v>212</v>
      </c>
    </row>
  </sheetData>
  <autoFilter ref="A1:A240" xr:uid="{1FEBADC7-7C80-41FD-BB5D-7DC1A5D2A040}"/>
  <sortState xmlns:xlrd2="http://schemas.microsoft.com/office/spreadsheetml/2017/richdata2" ref="A58:H98">
    <sortCondition ref="B58:B98"/>
  </sortState>
  <phoneticPr fontId="18" type="noConversion"/>
  <conditionalFormatting sqref="A1:A1048576">
    <cfRule type="duplicateValues" dxfId="1" priority="2"/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food_items_data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Dimitar Garbelyanski</dc:creator>
  <cp:lastModifiedBy>Dimitar Garbelyanski</cp:lastModifiedBy>
  <dcterms:created xsi:type="dcterms:W3CDTF">2020-11-14T13:10:51Z</dcterms:created>
  <dcterms:modified xsi:type="dcterms:W3CDTF">2021-11-20T14:56:58Z</dcterms:modified>
</cp:coreProperties>
</file>